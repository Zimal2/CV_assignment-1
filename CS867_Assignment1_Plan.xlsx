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thod Plan" sheetId="1" state="visible" r:id="rId3"/>
    <sheet name="Parameter Sweep" sheetId="2" state="visible" r:id="rId4"/>
    <sheet name="Runtime" sheetId="3" state="visible" r:id="rId5"/>
    <sheet name="Metrics" sheetId="4" state="visible" r:id="rId6"/>
    <sheet name="Metric Guide" sheetId="5" state="visible" r:id="rId7"/>
    <sheet name="Checklist" sheetId="6" state="visible" r:id="rId8"/>
    <sheet name="Change Log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<sst xmlns="http://schemas.openxmlformats.org/spreadsheetml/2006/main" count="323" uniqueCount="229">
  <si>
    <t xml:space="preserve">CS867 Assignment 1 - Method Plan</t>
  </si>
  <si>
    <t xml:space="preserve">Apply to Chest.bmp and Skeleton.bmp separately; tune parameters per image.</t>
  </si>
  <si>
    <t xml:space="preserve">Part</t>
  </si>
  <si>
    <t xml:space="preserve">Method</t>
  </si>
  <si>
    <t xml:space="preserve">Pipeline / Steps</t>
  </si>
  <si>
    <t xml:space="preserve">Main Purpose</t>
  </si>
  <si>
    <t xml:space="preserve">Key Parameters (start values)</t>
  </si>
  <si>
    <t xml:space="preserve">Risks / Artifacts</t>
  </si>
  <si>
    <t xml:space="preserve">(a) Spatial only</t>
  </si>
  <si>
    <t xml:space="preserve">Final spatial</t>
  </si>
  <si>
    <t xml:space="preserve">Percentile stretch (1-99%) -&gt; gamma -&gt; CLAHE -&gt; bilateral/median denoise -&gt; unsharp mask</t>
  </si>
  <si>
    <t xml:space="preserve">Improve local contrast and visible detail</t>
  </si>
  <si>
    <t xml:space="preserve">gamma 0.6-1.2; CLAHE clip 1.5-3.0, 8x8 tiles; unsharp sigma 1-2, k 0.5-1.2</t>
  </si>
  <si>
    <t xml:space="preserve">Noise amplification (CLAHE), halos (unsharp)</t>
  </si>
  <si>
    <t xml:space="preserve">Baseline</t>
  </si>
  <si>
    <t xml:space="preserve">Global histogram equalization</t>
  </si>
  <si>
    <t xml:space="preserve">Reference for comparison</t>
  </si>
  <si>
    <t xml:space="preserve">None</t>
  </si>
  <si>
    <t xml:space="preserve">Over-enhancement, washed-out regions</t>
  </si>
  <si>
    <t xml:space="preserve">(b) Fourier only</t>
  </si>
  <si>
    <t xml:space="preserve">Final Fourier</t>
  </si>
  <si>
    <t xml:space="preserve">Gaussian / Butterworth high-frequency emphasis: H = a + b*H_HP</t>
  </si>
  <si>
    <t xml:space="preserve">Boost selected frequencies while keeping low-frequency content</t>
  </si>
  <si>
    <t xml:space="preserve">a 0.5-1.0; b 1.0-2.0; D0 20-60; Butterworth order n = 1 or 2</t>
  </si>
  <si>
    <t xml:space="preserve">Ringing if cutoff too sharp or n too high</t>
  </si>
  <si>
    <t xml:space="preserve">Baseline (negative result)</t>
  </si>
  <si>
    <t xml:space="preserve">Plain Gaussian / ideal high-pass</t>
  </si>
  <si>
    <t xml:space="preserve">Show why removing low frequencies darkens image</t>
  </si>
  <si>
    <t xml:space="preserve">D0 20-60</t>
  </si>
  <si>
    <t xml:space="preserve">Dark edge-only image, noise amplification</t>
  </si>
  <si>
    <t xml:space="preserve">Extra experiment (optional)</t>
  </si>
  <si>
    <t xml:space="preserve">Homomorphic filter: log -&gt; FFT -&gt; H -&gt; IFFT -&gt; exp</t>
  </si>
  <si>
    <t xml:space="preserve">Correct uneven illumination</t>
  </si>
  <si>
    <t xml:space="preserve">gamma_L 0.5-0.9; gamma_H 1.2-2.0; c = 1; several D0</t>
  </si>
  <si>
    <t xml:space="preserve">Can over-flatten brightness</t>
  </si>
  <si>
    <t xml:space="preserve">(c) Hybrid 1</t>
  </si>
  <si>
    <t xml:space="preserve">Sequential</t>
  </si>
  <si>
    <t xml:space="preserve">Homomorphic -&gt; percentile stretch -&gt; CLAHE -&gt; mild unsharp -&gt; blend with original</t>
  </si>
  <si>
    <t xml:space="preserve">Fix illumination first, then local detail</t>
  </si>
  <si>
    <t xml:space="preserve">alpha 0.7 / 0.8 / 0.9 (I = alpha*processed + (1-alpha)*original)</t>
  </si>
  <si>
    <t xml:space="preserve">Higher cost; many parameters to tune</t>
  </si>
  <si>
    <t xml:space="preserve">(c) Hybrid 2</t>
  </si>
  <si>
    <t xml:space="preserve">Weighted fusion</t>
  </si>
  <si>
    <t xml:space="preserve">I = w*I_spatial + (1-w)*I_fourier</t>
  </si>
  <si>
    <t xml:space="preserve">Test whether complementary outputs balance better</t>
  </si>
  <si>
    <t xml:space="preserve">w 0.5 / 0.6 / 0.7</t>
  </si>
  <si>
    <t xml:space="preserve">Can blur both methods' strengths</t>
  </si>
  <si>
    <t xml:space="preserve">(d) Analysis</t>
  </si>
  <si>
    <t xml:space="preserve">Comparison</t>
  </si>
  <si>
    <t xml:space="preserve">Visuals, histograms, FFT spectra, filter masks, zoomed crops, metrics, runtime</t>
  </si>
  <si>
    <t xml:space="preserve">Defend which method is best and why</t>
  </si>
  <si>
    <t xml:space="preserve">Same metrics for all outputs</t>
  </si>
  <si>
    <t xml:space="preserve">Metrics reward noise; PSNR/SSIM vs original not valid quality measures</t>
  </si>
  <si>
    <t xml:space="preserve">Parameter Sweep Log</t>
  </si>
  <si>
    <t xml:space="preserve">Blue cells = your inputs. Fill Chosen? with Yes after visual inspection (do not choose by score alone).</t>
  </si>
  <si>
    <t xml:space="preserve">Parameter</t>
  </si>
  <si>
    <t xml:space="preserve">Values to test</t>
  </si>
  <si>
    <t xml:space="preserve">Chest best</t>
  </si>
  <si>
    <t xml:space="preserve">Skeleton best</t>
  </si>
  <si>
    <t xml:space="preserve">Notes (artifacts seen)</t>
  </si>
  <si>
    <t xml:space="preserve">Gamma</t>
  </si>
  <si>
    <t xml:space="preserve">Spatial</t>
  </si>
  <si>
    <t xml:space="preserve">0.6, 0.8, 1.0, 1.2</t>
  </si>
  <si>
    <t xml:space="preserve">0.8</t>
  </si>
  <si>
    <t xml:space="preserve">0.6</t>
  </si>
  <si>
    <t xml:space="preserve">CLAHE clip limit</t>
  </si>
  <si>
    <t xml:space="preserve">1.5, 2.0, 3.0</t>
  </si>
  <si>
    <t xml:space="preserve">1.5</t>
  </si>
  <si>
    <t xml:space="preserve">Unsharp amount k</t>
  </si>
  <si>
    <t xml:space="preserve">0.5, 0.8, 1.0</t>
  </si>
  <si>
    <t xml:space="preserve">0.7</t>
  </si>
  <si>
    <t xml:space="preserve">Unsharp sigma</t>
  </si>
  <si>
    <t xml:space="preserve">1, 1.5, 2</t>
  </si>
  <si>
    <t xml:space="preserve">Cutoff D0 (proportional to image size)</t>
  </si>
  <si>
    <t xml:space="preserve">Fourier</t>
  </si>
  <si>
    <t xml:space="preserve">several, e.g. 2%, 5%, 10% of min(H,W)</t>
  </si>
  <si>
    <t xml:space="preserve">5% of min(H,W)</t>
  </si>
  <si>
    <t xml:space="preserve">Butterworth order n</t>
  </si>
  <si>
    <t xml:space="preserve">1, 2</t>
  </si>
  <si>
    <t xml:space="preserve">Butterworth n=2</t>
  </si>
  <si>
    <t xml:space="preserve">HFE a / b</t>
  </si>
  <si>
    <t xml:space="preserve">a 0.5-1.0, b 1.0-2.0</t>
  </si>
  <si>
    <t xml:space="preserve">a=0.8, b=1.5</t>
  </si>
  <si>
    <t xml:space="preserve">Homomorphic gamma_L / gamma_H</t>
  </si>
  <si>
    <t xml:space="preserve">Hybrid 1</t>
  </si>
  <si>
    <t xml:space="preserve">0.5-0.9 / 1.2-2.0</t>
  </si>
  <si>
    <t xml:space="preserve">gL 0.6 / gH 1.4 (eps 0.1)</t>
  </si>
  <si>
    <t xml:space="preserve">gL 0.6 / gH 1.4 (eps 0.3)</t>
  </si>
  <si>
    <t xml:space="preserve">Blend alpha</t>
  </si>
  <si>
    <t xml:space="preserve">0.7, 0.8, 0.9</t>
  </si>
  <si>
    <t xml:space="preserve">Fusion weight w</t>
  </si>
  <si>
    <t xml:space="preserve">Hybrid 2</t>
  </si>
  <si>
    <t xml:space="preserve">0.5, 0.6, 0.7</t>
  </si>
  <si>
    <t xml:space="preserve">Chosen by sweep + visual inspection. Chest also uses Gaussian pre-smoothing (sigma 1.0 spatial, 1.8 hybrid) vs JPEG blocking. Full sweeps: sweeps.csv</t>
  </si>
  <si>
    <t xml:space="preserve">Runtime Log (ms)</t>
  </si>
  <si>
    <t xml:space="preserve">Run each method 15 times, exclude loading/plotting/saving. Median is computed by formula.</t>
  </si>
  <si>
    <t xml:space="preserve">Image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</si>
  <si>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</si>
  <si>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</si>
  <si>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</si>
  <si>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</si>
  <si>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</si>
  <si>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</si>
  <si>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</si>
  <si>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</si>
  <si>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</si>
  <si>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</si>
  <si>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</si>
  <si>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</si>
  <si>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</si>
  <si>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</si>
  <si>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</si>
  <si>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Median (ms)</t>
  </si>
  <si>
    <t xml:space="preserve">Chest</t>
  </si>
  <si>
    <t xml:space="preserve">Histogram equalization</t>
  </si>
  <si>
    <t xml:space="preserve">Spatial (final)</t>
  </si>
  <si>
    <t xml:space="preserve">Gaussian high-pass</t>
  </si>
  <si>
    <t xml:space="preserve">Fourier HFE (final)</t>
  </si>
  <si>
    <t xml:space="preserve">Homomorphic</t>
  </si>
  <si>
    <t xml:space="preserve">Hybrid 1 (sequential)</t>
  </si>
  <si>
    <t xml:space="preserve">Hybrid 2 (fusion)</t>
  </si>
  <si>
    <t xml:space="preserve">Skeleton</t>
  </si>
  <si>
    <t xml:space="preserve">Median of 15 runs after warm-up (main.py). Hybrid 2 = END-TO-END cost incl. producing both inputs; fusion step alone: Chest 0.537 ms, Skeleton 0.490 ms.</t>
  </si>
  <si>
    <t xml:space="preserve">Metrics Comparison</t>
  </si>
  <si>
    <t xml:space="preserve">Blue cells = values from compute_metrics(). Runtime pulls from Runtime sheet. % changes are formulas vs the Original row of the same image.</t>
  </si>
  <si>
    <t xml:space="preserve">Mean</t>
  </si>
  <si>
    <t xml:space="preserve">Std dev (contrast)</t>
  </si>
  <si>
    <t xml:space="preserve">Entropy</t>
  </si>
  <si>
    <t xml:space="preserve">Avg gradient</t>
  </si>
  <si>
    <t xml:space="preserve">Tenengrad (Sobel)</t>
  </si>
  <si>
    <t xml:space="preserve">Runtime (ms)</t>
  </si>
  <si>
    <t xml:space="preserve">Contrast change vs original</t>
  </si>
  <si>
    <t xml:space="preserve">Entropy change vs original</t>
  </si>
  <si>
    <t xml:space="preserve">Edge change vs original</t>
  </si>
  <si>
    <t xml:space="preserve">Visual notes (noise / halo / ringing / saturation)</t>
  </si>
  <si>
    <t xml:space="preserve">Noise sigma (Immerkaer)</t>
  </si>
  <si>
    <t xml:space="preserve">Edge density (Canny)</t>
  </si>
  <si>
    <t xml:space="preserve">Original</t>
  </si>
  <si>
    <t xml:space="preserve">n/a</t>
  </si>
  <si>
    <t xml:space="preserve">Fastest; over-brightens, exposes 8x8 JPEG blocking in lungs</t>
  </si>
  <si>
    <t xml:space="preserve">Natural, clean; ribs/vessels clearer; light pre-blur vs JPEG blocking</t>
  </si>
  <si>
    <t xml:space="preserve">Signed zero-centred display: edges only, tissue contrast lost; entropy 5.08 (negative baseline)</t>
  </si>
  <si>
    <t xml:space="preserve">Pure Fourier + min-max scaling: ribs sharper, modest gain only; linear filter cannot lift dark lungs</t>
  </si>
  <si>
    <t xml:space="preserve">Classical exp output; flatter illumination, lower contrast, noise x3 vs original</t>
  </si>
  <si>
    <t xml:space="preserve">Best overall: highest entropy and contrast, noise below spatial; faint residual blocking in lungs</t>
  </si>
  <si>
    <t xml:space="preserve">Smooth and natural; slightly less detail than Hybrid 1</t>
  </si>
  <si>
    <t xml:space="preserve">Background lifted to grey, hot spots saturate, contouring at body edge</t>
  </si>
  <si>
    <t xml:space="preserve">Best natural look: organs, spine, pelvis visible, dark background, highest std among final methods</t>
  </si>
  <si>
    <t xml:space="preserve">Grey edge map, entropy 4.09; not usable</t>
  </si>
  <si>
    <t xml:space="preserve">Pure Fourier + min-max: sharper spine/pelvis edges but stays dim; no ringing after border removal</t>
  </si>
  <si>
    <t xml:space="preserve">Classical exp output: dim, heavy-tailed due to hot spots</t>
  </si>
  <si>
    <t xml:space="preserve">Highest edge metrics but edge density 0.0875 (~20x original): over-enhancement/blockiness; not chosen</t>
  </si>
  <si>
    <t xml:space="preserve">Clean compromise; lowest noise among enhanced outputs (0.0012)</t>
  </si>
  <si>
    <t xml:space="preserve">Notes: Entropy, gradient and Tenengrad also rise with noise, so use them to shortlist only. PSNR/SSIM against the original measure degree of modification, not enhancement quality. Intensities assumed normalized to [0,1] for all images.</t>
  </si>
  <si>
    <t xml:space="preserve">What Each Metric Means</t>
  </si>
  <si>
    <t xml:space="preserve">Measure</t>
  </si>
  <si>
    <t xml:space="preserve">What it indicates</t>
  </si>
  <si>
    <t xml:space="preserve">Important limitation</t>
  </si>
  <si>
    <t xml:space="preserve">Mean / std dev</t>
  </si>
  <si>
    <t xml:space="preserve">Brightness and global contrast</t>
  </si>
  <si>
    <t xml:space="preserve">Higher contrast is not always better</t>
  </si>
  <si>
    <t xml:space="preserve">RMS contrast</t>
  </si>
  <si>
    <t xml:space="preserve">Overall intensity variation</t>
  </si>
  <si>
    <t xml:space="preserve">Can increase due to noise</t>
  </si>
  <si>
    <t xml:space="preserve">Spread of intensity information</t>
  </si>
  <si>
    <t xml:space="preserve">Noise also increases entropy</t>
  </si>
  <si>
    <t xml:space="preserve">Average gradient</t>
  </si>
  <si>
    <t xml:space="preserve">Local detail and sharpness</t>
  </si>
  <si>
    <t xml:space="preserve">Can reward noise</t>
  </si>
  <si>
    <t xml:space="preserve">Tenengrad / Sobel edge strength</t>
  </si>
  <si>
    <t xml:space="preserve">Edge visibility</t>
  </si>
  <si>
    <t xml:space="preserve">Over-sharpening scores highly</t>
  </si>
  <si>
    <t xml:space="preserve">Edge density</t>
  </si>
  <si>
    <t xml:space="preserve">Number of visible edge pixels</t>
  </si>
  <si>
    <t xml:space="preserve">Highly threshold-dependent</t>
  </si>
  <si>
    <t xml:space="preserve">Runtime</t>
  </si>
  <si>
    <t xml:space="preserve">Computational efficiency</t>
  </si>
  <si>
    <t xml:space="preserve">Depends on implementation and hardware</t>
  </si>
  <si>
    <t xml:space="preserve">PSNR / SSIM vs original</t>
  </si>
  <si>
    <t xml:space="preserve">Degree of modification only</t>
  </si>
  <si>
    <t xml:space="preserve">Not valid proof of better enhancement (no reference image)</t>
  </si>
  <si>
    <t xml:space="preserve">Task Checklist (Due Sunday 4 Oct 2026, 50 marks)</t>
  </si>
  <si>
    <t xml:space="preserve">Late penalty: 10 marks/day. Set Status to Done as you finish; progress is calculated.</t>
  </si>
  <si>
    <t xml:space="preserve">#</t>
  </si>
  <si>
    <t xml:space="preserve">Task</t>
  </si>
  <si>
    <t xml:space="preserve">Owner</t>
  </si>
  <si>
    <t xml:space="preserve">Target date</t>
  </si>
  <si>
    <t xml:space="preserve">Status</t>
  </si>
  <si>
    <t xml:space="preserve">Shared code: load_image, normalization, compute_metrics, timing, plot_results</t>
  </si>
  <si>
    <t xml:space="preserve">Not started</t>
  </si>
  <si>
    <t xml:space="preserve">Spatial pipeline (a) + HE baseline</t>
  </si>
  <si>
    <t xml:space="preserve">Fourier: spectrum, filter masks, high-pass baseline, HFE (b)</t>
  </si>
  <si>
    <t xml:space="preserve">Homomorphic filter experiment</t>
  </si>
  <si>
    <t xml:space="preserve">Hybrid 1 sequential + Hybrid 2 fusion (c)</t>
  </si>
  <si>
    <t xml:space="preserve">Parameter sweeps for both images</t>
  </si>
  <si>
    <t xml:space="preserve">Export full-resolution results and zoomed crops</t>
  </si>
  <si>
    <t xml:space="preserve">Fill Metrics and Runtime sheets</t>
  </si>
  <si>
    <t xml:space="preserve">Write analysis (d): artifacts, trade-offs, why metrics can mislead</t>
  </si>
  <si>
    <t xml:space="preserve">Assemble Word report with figures, comments, references</t>
  </si>
  <si>
    <t xml:space="preserve">Comment code; save as separate .py files</t>
  </si>
  <si>
    <t xml:space="preserve">Upload report + code to LMS</t>
  </si>
  <si>
    <t xml:space="preserve">Tasks done</t>
  </si>
  <si>
    <t xml:space="preserve">Progress</t>
  </si>
  <si>
    <t xml:space="preserve">Status options: Not started / In progress / Done</t>
  </si>
  <si>
    <t xml:space="preserve">Review Fixes Applied (final run)</t>
  </si>
  <si>
    <t xml:space="preserve">Issue</t>
  </si>
  <si>
    <t xml:space="preserve">Fix applied</t>
  </si>
  <si>
    <t xml:space="preserve">Effect</t>
  </si>
  <si>
    <t xml:space="preserve">Fourier-only outputs used percentile stretching (a spatial point operation)</t>
  </si>
  <si>
    <t xml:space="preserve">Fourier-only methods now use min-max visualization scaling only; high-pass uses a signed zero-centred display</t>
  </si>
  <si>
    <t xml:space="preserve">Fourier-only results are weaker (honest result of linear filtering); percentile stretch kept only inside hybrids</t>
  </si>
  <si>
    <t xml:space="preserve">Homomorphic default was not the classical form</t>
  </si>
  <si>
    <t xml:space="preserve">Fourier-only row uses classical exp(IDFT{H*DFT{log(f+eps)}})-eps with min-max scaling; hybrids use a modified log-domain variant, labelled as such</t>
  </si>
  <si>
    <t xml:space="preserve">Naming and theory now consistent</t>
  </si>
  <si>
    <t xml:space="preserve">Stage figure omitted Chest pre-smoothing</t>
  </si>
  <si>
    <t xml:space="preserve">Stage figure now includes pre-smoothing, denoise and unsharp as separate stages, and asserts it equals spatial_enhance()</t>
  </si>
  <si>
    <t xml:space="preserve">Figure reproduces the actual pipeline</t>
  </si>
  <si>
    <t xml:space="preserve">Input files contain a 1-4 px white frame</t>
  </si>
  <si>
    <t xml:space="preserve">load_image() strips saturated edge rows/columns automatically</t>
  </si>
  <si>
    <t xml:space="preserve">Removed edge-line artifacts and inflated edge metrics on the original; Skeleton Hybrid 1 retuned (it over-enhanced)</t>
  </si>
  <si>
    <t xml:space="preserve">BMP vs JPG</t>
  </si>
  <si>
    <t xml:space="preserve">Loader prefers .bmp, then .jpg/.png</t>
  </si>
  <si>
    <t xml:space="preserve">Re-run on the official BMPs; JPEG blocking may be absent, so pre-smoothing may be unnecessary</t>
  </si>
  <si>
    <t xml:space="preserve">Hybrid 2 runtime ambiguity</t>
  </si>
  <si>
    <t xml:space="preserve">Runtime sheet shows end-to-end cost (spatial + Fourier + fusion); fusion-only cost recorded in runtimes_ms.json</t>
  </si>
  <si>
    <t xml:space="preserve">Both reported; 15 runs per median</t>
  </si>
  <si>
    <t xml:space="preserve">sweeps.csv params contained commas</t>
  </si>
  <si>
    <t xml:space="preserve">Separator changed to semicolons (file was valid, now robust)</t>
  </si>
  <si>
    <t xml:space="preserve">Safe in any parser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</si>
</sst>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"/>
    <numFmt numFmtId="166" formatCode="0.000"/>
    <numFmt numFmtId="167" formatCode="0.0000"/>
    <numFmt numFmtId="168" formatCode="0.0%"/>
    <numFmt numFmtId="169" formatCode="General"/>
    <numFmt numFmtId="170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99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50"/>
    <col collapsed="false" customWidth="true" hidden="false" outlineLevel="0" max="4" min="4" style="1" width="38"/>
    <col collapsed="false" customWidth="true" hidden="false" outlineLevel="0" max="5" min="5" style="1" width="44"/>
    <col collapsed="false" customWidth="true" hidden="false" outlineLevel="0" max="6" min="6" style="1" width="4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23.25" hidden="false" customHeight="true" outlineLevel="0" collapsed="false">
      <c r="A5" s="5" t="s">
        <v>8</v>
      </c>
      <c r="B5" s="5" t="s">
        <v>9</v>
      </c>
      <c r="C5" s="5" t="s">
        <v>10</v>
      </c>
      <c r="D5" s="5" t="s">
        <v>11</v>
      </c>
      <c r="E5" s="5" t="s">
        <v>12</v>
      </c>
      <c r="F5" s="5" t="s">
        <v>13</v>
      </c>
    </row>
    <row r="6" customFormat="false" ht="15" hidden="false" customHeight="true" outlineLevel="0" collapsed="false">
      <c r="A6" s="5" t="s">
        <v>8</v>
      </c>
      <c r="B6" s="5" t="s">
        <v>14</v>
      </c>
      <c r="C6" s="5" t="s">
        <v>15</v>
      </c>
      <c r="D6" s="5" t="s">
        <v>16</v>
      </c>
      <c r="E6" s="5" t="s">
        <v>17</v>
      </c>
      <c r="F6" s="5" t="s">
        <v>18</v>
      </c>
    </row>
    <row r="7" customFormat="false" ht="23.25" hidden="false" customHeight="true" outlineLevel="0" collapsed="false">
      <c r="A7" s="5" t="s">
        <v>19</v>
      </c>
      <c r="B7" s="5" t="s">
        <v>20</v>
      </c>
      <c r="C7" s="5" t="s">
        <v>21</v>
      </c>
      <c r="D7" s="5" t="s">
        <v>22</v>
      </c>
      <c r="E7" s="5" t="s">
        <v>23</v>
      </c>
      <c r="F7" s="5" t="s">
        <v>24</v>
      </c>
    </row>
    <row r="8" customFormat="false" ht="23.25" hidden="false" customHeight="true" outlineLevel="0" collapsed="false">
      <c r="A8" s="5" t="s">
        <v>19</v>
      </c>
      <c r="B8" s="5" t="s">
        <v>25</v>
      </c>
      <c r="C8" s="5" t="s">
        <v>26</v>
      </c>
      <c r="D8" s="5" t="s">
        <v>27</v>
      </c>
      <c r="E8" s="5" t="s">
        <v>28</v>
      </c>
      <c r="F8" s="5" t="s">
        <v>29</v>
      </c>
    </row>
    <row r="9" customFormat="false" ht="23.25" hidden="false" customHeight="true" outlineLevel="0" collapsed="false">
      <c r="A9" s="5" t="s">
        <v>19</v>
      </c>
      <c r="B9" s="5" t="s">
        <v>30</v>
      </c>
      <c r="C9" s="5" t="s">
        <v>31</v>
      </c>
      <c r="D9" s="5" t="s">
        <v>32</v>
      </c>
      <c r="E9" s="5" t="s">
        <v>33</v>
      </c>
      <c r="F9" s="5" t="s">
        <v>34</v>
      </c>
    </row>
    <row r="10" customFormat="false" ht="23.25" hidden="false" customHeight="true" outlineLevel="0" collapsed="false">
      <c r="A10" s="5" t="s">
        <v>35</v>
      </c>
      <c r="B10" s="5" t="s">
        <v>36</v>
      </c>
      <c r="C10" s="5" t="s">
        <v>37</v>
      </c>
      <c r="D10" s="5" t="s">
        <v>38</v>
      </c>
      <c r="E10" s="5" t="s">
        <v>39</v>
      </c>
      <c r="F10" s="5" t="s">
        <v>40</v>
      </c>
    </row>
    <row r="11" customFormat="false" ht="23.25" hidden="false" customHeight="true" outlineLevel="0" collapsed="false">
      <c r="A11" s="5" t="s">
        <v>41</v>
      </c>
      <c r="B11" s="5" t="s">
        <v>42</v>
      </c>
      <c r="C11" s="5" t="s">
        <v>43</v>
      </c>
      <c r="D11" s="5" t="s">
        <v>44</v>
      </c>
      <c r="E11" s="5" t="s">
        <v>45</v>
      </c>
      <c r="F11" s="5" t="s">
        <v>46</v>
      </c>
    </row>
    <row r="12" customFormat="false" ht="23.25" hidden="false" customHeight="true" outlineLevel="0" collapsed="false">
      <c r="A12" s="5" t="s">
        <v>47</v>
      </c>
      <c r="B12" s="5" t="s">
        <v>48</v>
      </c>
      <c r="C12" s="5" t="s">
        <v>49</v>
      </c>
      <c r="D12" s="5" t="s">
        <v>50</v>
      </c>
      <c r="E12" s="5" t="s">
        <v>51</v>
      </c>
      <c r="F12" s="5" t="s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2"/>
    <col collapsed="false" customWidth="true" hidden="false" outlineLevel="0" max="3" min="3" style="1" width="40"/>
    <col collapsed="false" customWidth="true" hidden="false" outlineLevel="0" max="5" min="4" style="1" width="16"/>
    <col collapsed="false" customWidth="true" hidden="false" outlineLevel="0" max="6" min="6" style="1" width="40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15" hidden="false" customHeight="true" outlineLevel="0" collapsed="false">
      <c r="A4" s="4" t="s">
        <v>55</v>
      </c>
      <c r="B4" s="4" t="s">
        <v>3</v>
      </c>
      <c r="C4" s="4" t="s">
        <v>56</v>
      </c>
      <c r="D4" s="4" t="s">
        <v>57</v>
      </c>
      <c r="E4" s="4" t="s">
        <v>58</v>
      </c>
      <c r="F4" s="4" t="s">
        <v>59</v>
      </c>
    </row>
    <row r="5" customFormat="false" ht="15" hidden="false" customHeight="true" outlineLevel="0" collapsed="false">
      <c r="A5" s="5" t="s">
        <v>60</v>
      </c>
      <c r="B5" s="5" t="s">
        <v>61</v>
      </c>
      <c r="C5" s="5" t="s">
        <v>62</v>
      </c>
      <c r="D5" s="6" t="s">
        <v>63</v>
      </c>
      <c r="E5" s="6" t="s">
        <v>64</v>
      </c>
      <c r="F5" s="6"/>
    </row>
    <row r="6" customFormat="false" ht="15" hidden="false" customHeight="true" outlineLevel="0" collapsed="false">
      <c r="A6" s="5" t="s">
        <v>65</v>
      </c>
      <c r="B6" s="5" t="s">
        <v>61</v>
      </c>
      <c r="C6" s="5" t="s">
        <v>66</v>
      </c>
      <c r="D6" s="6" t="s">
        <v>67</v>
      </c>
      <c r="E6" s="6" t="s">
        <v>67</v>
      </c>
      <c r="F6" s="6"/>
    </row>
    <row r="7" customFormat="false" ht="15" hidden="false" customHeight="true" outlineLevel="0" collapsed="false">
      <c r="A7" s="5" t="s">
        <v>68</v>
      </c>
      <c r="B7" s="5" t="s">
        <v>61</v>
      </c>
      <c r="C7" s="5" t="s">
        <v>69</v>
      </c>
      <c r="D7" s="6" t="s">
        <v>70</v>
      </c>
      <c r="E7" s="6" t="s">
        <v>70</v>
      </c>
      <c r="F7" s="6"/>
    </row>
    <row r="8" customFormat="false" ht="15" hidden="false" customHeight="true" outlineLevel="0" collapsed="false">
      <c r="A8" s="5" t="s">
        <v>71</v>
      </c>
      <c r="B8" s="5" t="s">
        <v>61</v>
      </c>
      <c r="C8" s="5" t="s">
        <v>72</v>
      </c>
      <c r="D8" s="6" t="s">
        <v>67</v>
      </c>
      <c r="E8" s="6" t="s">
        <v>67</v>
      </c>
      <c r="F8" s="6"/>
    </row>
    <row r="9" customFormat="false" ht="15" hidden="false" customHeight="true" outlineLevel="0" collapsed="false">
      <c r="A9" s="5" t="s">
        <v>73</v>
      </c>
      <c r="B9" s="5" t="s">
        <v>74</v>
      </c>
      <c r="C9" s="5" t="s">
        <v>75</v>
      </c>
      <c r="D9" s="6" t="s">
        <v>76</v>
      </c>
      <c r="E9" s="6" t="s">
        <v>76</v>
      </c>
      <c r="F9" s="6"/>
    </row>
    <row r="10" customFormat="false" ht="15" hidden="false" customHeight="true" outlineLevel="0" collapsed="false">
      <c r="A10" s="5" t="s">
        <v>77</v>
      </c>
      <c r="B10" s="5" t="s">
        <v>74</v>
      </c>
      <c r="C10" s="5" t="s">
        <v>78</v>
      </c>
      <c r="D10" s="6" t="s">
        <v>79</v>
      </c>
      <c r="E10" s="6" t="s">
        <v>79</v>
      </c>
      <c r="F10" s="6"/>
    </row>
    <row r="11" customFormat="false" ht="15" hidden="false" customHeight="true" outlineLevel="0" collapsed="false">
      <c r="A11" s="5" t="s">
        <v>80</v>
      </c>
      <c r="B11" s="5" t="s">
        <v>74</v>
      </c>
      <c r="C11" s="5" t="s">
        <v>81</v>
      </c>
      <c r="D11" s="6" t="s">
        <v>82</v>
      </c>
      <c r="E11" s="6" t="s">
        <v>82</v>
      </c>
      <c r="F11" s="6"/>
    </row>
    <row r="12" customFormat="false" ht="15" hidden="false" customHeight="true" outlineLevel="0" collapsed="false">
      <c r="A12" s="5" t="s">
        <v>83</v>
      </c>
      <c r="B12" s="5" t="s">
        <v>84</v>
      </c>
      <c r="C12" s="5" t="s">
        <v>85</v>
      </c>
      <c r="D12" s="6" t="s">
        <v>86</v>
      </c>
      <c r="E12" s="6" t="s">
        <v>87</v>
      </c>
      <c r="F12" s="6"/>
    </row>
    <row r="13" customFormat="false" ht="15" hidden="false" customHeight="true" outlineLevel="0" collapsed="false">
      <c r="A13" s="5" t="s">
        <v>88</v>
      </c>
      <c r="B13" s="5" t="s">
        <v>84</v>
      </c>
      <c r="C13" s="5" t="s">
        <v>89</v>
      </c>
      <c r="D13" s="6" t="s">
        <v>63</v>
      </c>
      <c r="E13" s="6" t="s">
        <v>63</v>
      </c>
      <c r="F13" s="6"/>
    </row>
    <row r="14" customFormat="false" ht="15" hidden="false" customHeight="true" outlineLevel="0" collapsed="false">
      <c r="A14" s="5" t="s">
        <v>90</v>
      </c>
      <c r="B14" s="5" t="s">
        <v>91</v>
      </c>
      <c r="C14" s="5" t="s">
        <v>92</v>
      </c>
      <c r="D14" s="6" t="s">
        <v>64</v>
      </c>
      <c r="E14" s="6" t="s">
        <v>64</v>
      </c>
      <c r="F14" s="6"/>
    </row>
    <row r="15" customFormat="false" ht="15" hidden="false" customHeight="true" outlineLevel="0" collapsed="false">
      <c r="F15" s="1" t="s">
        <v>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8"/>
    <col collapsed="false" customWidth="true" hidden="false" outlineLevel="0" max="17" min="3" style="1" width="8"/>
    <col collapsed="false" customWidth="true" hidden="false" outlineLevel="0" max="18" min="18" style="1" width="14"/>
  </cols>
  <sheetData>
    <row r="1" customFormat="false" ht="17.25" hidden="false" customHeight="true" outlineLevel="0" collapsed="false">
      <c r="A1" s="2" t="s">
        <v>94</v>
      </c>
    </row>
    <row r="2" customFormat="false" ht="15" hidden="false" customHeight="true" outlineLevel="0" collapsed="false">
      <c r="A2" s="3" t="s">
        <v>95</v>
      </c>
    </row>
    <row r="4" customFormat="false" ht="15" hidden="false" customHeight="true" outlineLevel="0" collapsed="false">
      <c r="A4" s="4" t="s">
        <v>96</v>
      </c>
      <c r="B4" s="4" t="s">
        <v>3</v>
      </c>
      <c r="C4" s="4" t="s">
        <v>97</v>
      </c>
      <c r="D4" s="4" t="s">
        <v>98</v>
      </c>
      <c r="E4" s="4" t="s">
        <v>99</v>
      </c>
      <c r="F4" s="4" t="s">
        <v>100</v>
      </c>
      <c r="G4" s="4" t="s">
        <v>101</v>
      </c>
      <c r="H4" s="4" t="s">
        <v>102</v>
      </c>
      <c r="I4" s="4" t="s">
        <v>103</v>
      </c>
      <c r="J4" s="4" t="s">
        <v>104</v>
      </c>
      <c r="K4" s="4" t="s">
        <v>105</v>
      </c>
      <c r="L4" s="4" t="s">
        <v>106</v>
      </c>
      <c r="M4" s="4" t="s">
        <v>107</v>
      </c>
      <c r="N4" s="4" t="s">
        <v>108</v>
      </c>
      <c r="O4" s="4" t="s">
        <v>109</v>
      </c>
      <c r="P4" s="4" t="s">
        <v>110</v>
      </c>
      <c r="Q4" s="4" t="s">
        <v>111</v>
      </c>
      <c r="R4" s="4" t="s">
        <v>112</v>
      </c>
    </row>
    <row r="5" customFormat="false" ht="15" hidden="false" customHeight="true" outlineLevel="0" collapsed="false">
      <c r="A5" s="7" t="s">
        <v>113</v>
      </c>
      <c r="B5" s="7" t="s">
        <v>114</v>
      </c>
      <c r="C5" s="8" t="n">
        <v>1.81</v>
      </c>
      <c r="D5" s="8" t="n">
        <v>2.91</v>
      </c>
      <c r="E5" s="8" t="n">
        <v>1.73</v>
      </c>
      <c r="F5" s="8" t="n">
        <v>0.79</v>
      </c>
      <c r="G5" s="8" t="n">
        <v>0.89</v>
      </c>
      <c r="H5" s="8" t="n">
        <v>1.29</v>
      </c>
      <c r="I5" s="8" t="n">
        <v>1.02</v>
      </c>
      <c r="J5" s="8" t="n">
        <v>0.87</v>
      </c>
      <c r="K5" s="8" t="n">
        <v>0.86</v>
      </c>
      <c r="L5" s="8" t="n">
        <v>0.87</v>
      </c>
      <c r="M5" s="8" t="n">
        <v>1.32</v>
      </c>
      <c r="N5" s="8" t="n">
        <v>2.41</v>
      </c>
      <c r="O5" s="8" t="n">
        <v>2.13</v>
      </c>
      <c r="P5" s="8" t="n">
        <v>1.01</v>
      </c>
      <c r="Q5" s="8" t="n">
        <v>1.89</v>
      </c>
      <c r="R5" s="9" t="n">
        <f aca="false">IF(COUNT(C5:Q5)=0,"",MEDIAN(C5:Q5))</f>
        <v>1.29</v>
      </c>
    </row>
    <row r="6" customFormat="false" ht="15" hidden="false" customHeight="true" outlineLevel="0" collapsed="false">
      <c r="A6" s="7" t="s">
        <v>113</v>
      </c>
      <c r="B6" s="7" t="s">
        <v>115</v>
      </c>
      <c r="C6" s="8" t="n">
        <v>15.24</v>
      </c>
      <c r="D6" s="8" t="n">
        <v>15.02</v>
      </c>
      <c r="E6" s="8" t="n">
        <v>13.88</v>
      </c>
      <c r="F6" s="8" t="n">
        <v>13.9</v>
      </c>
      <c r="G6" s="8" t="n">
        <v>13.69</v>
      </c>
      <c r="H6" s="8" t="n">
        <v>13.6</v>
      </c>
      <c r="I6" s="8" t="n">
        <v>14.13</v>
      </c>
      <c r="J6" s="8" t="n">
        <v>17.69</v>
      </c>
      <c r="K6" s="8" t="n">
        <v>13.21</v>
      </c>
      <c r="L6" s="8" t="n">
        <v>13.81</v>
      </c>
      <c r="M6" s="8" t="n">
        <v>17.52</v>
      </c>
      <c r="N6" s="8" t="n">
        <v>13.54</v>
      </c>
      <c r="O6" s="8" t="n">
        <v>13.85</v>
      </c>
      <c r="P6" s="8" t="n">
        <v>17.73</v>
      </c>
      <c r="Q6" s="8" t="n">
        <v>13.44</v>
      </c>
      <c r="R6" s="9" t="n">
        <f aca="false">IF(COUNT(C6:Q6)=0,"",MEDIAN(C6:Q6))</f>
        <v>13.88</v>
      </c>
    </row>
    <row r="7" customFormat="false" ht="15" hidden="false" customHeight="true" outlineLevel="0" collapsed="false">
      <c r="A7" s="7" t="s">
        <v>113</v>
      </c>
      <c r="B7" s="7" t="s">
        <v>116</v>
      </c>
      <c r="C7" s="8" t="n">
        <v>76.18</v>
      </c>
      <c r="D7" s="8" t="n">
        <v>73.64</v>
      </c>
      <c r="E7" s="8" t="n">
        <v>70.7</v>
      </c>
      <c r="F7" s="8" t="n">
        <v>65.67</v>
      </c>
      <c r="G7" s="8" t="n">
        <v>57.42</v>
      </c>
      <c r="H7" s="8" t="n">
        <v>56.58</v>
      </c>
      <c r="I7" s="8" t="n">
        <v>62.52</v>
      </c>
      <c r="J7" s="8" t="n">
        <v>60.85</v>
      </c>
      <c r="K7" s="8" t="n">
        <v>70.3</v>
      </c>
      <c r="L7" s="8" t="n">
        <v>53.97</v>
      </c>
      <c r="M7" s="8" t="n">
        <v>55</v>
      </c>
      <c r="N7" s="8" t="n">
        <v>60.39</v>
      </c>
      <c r="O7" s="8" t="n">
        <v>60.93</v>
      </c>
      <c r="P7" s="8" t="n">
        <v>75.67</v>
      </c>
      <c r="Q7" s="8" t="n">
        <v>79.33</v>
      </c>
      <c r="R7" s="9" t="n">
        <f aca="false">IF(COUNT(C7:Q7)=0,"",MEDIAN(C7:Q7))</f>
        <v>62.52</v>
      </c>
    </row>
    <row r="8" customFormat="false" ht="15" hidden="false" customHeight="true" outlineLevel="0" collapsed="false">
      <c r="A8" s="7" t="s">
        <v>113</v>
      </c>
      <c r="B8" s="7" t="s">
        <v>117</v>
      </c>
      <c r="C8" s="8" t="n">
        <v>82.83</v>
      </c>
      <c r="D8" s="8" t="n">
        <v>55.16</v>
      </c>
      <c r="E8" s="8" t="n">
        <v>54.25</v>
      </c>
      <c r="F8" s="8" t="n">
        <v>55.56</v>
      </c>
      <c r="G8" s="8" t="n">
        <v>64.47</v>
      </c>
      <c r="H8" s="8" t="n">
        <v>58.93</v>
      </c>
      <c r="I8" s="8" t="n">
        <v>65.21</v>
      </c>
      <c r="J8" s="8" t="n">
        <v>54.25</v>
      </c>
      <c r="K8" s="8" t="n">
        <v>68.84</v>
      </c>
      <c r="L8" s="8" t="n">
        <v>71.07</v>
      </c>
      <c r="M8" s="8" t="n">
        <v>54.37</v>
      </c>
      <c r="N8" s="8" t="n">
        <v>54.22</v>
      </c>
      <c r="O8" s="8" t="n">
        <v>56.96</v>
      </c>
      <c r="P8" s="8" t="n">
        <v>56.41</v>
      </c>
      <c r="Q8" s="8" t="n">
        <v>59.08</v>
      </c>
      <c r="R8" s="9" t="n">
        <f aca="false">IF(COUNT(C8:Q8)=0,"",MEDIAN(C8:Q8))</f>
        <v>56.96</v>
      </c>
    </row>
    <row r="9" customFormat="false" ht="15" hidden="false" customHeight="true" outlineLevel="0" collapsed="false">
      <c r="A9" s="7" t="s">
        <v>113</v>
      </c>
      <c r="B9" s="7" t="s">
        <v>118</v>
      </c>
      <c r="C9" s="8" t="n">
        <v>68.55</v>
      </c>
      <c r="D9" s="8" t="n">
        <v>58.59</v>
      </c>
      <c r="E9" s="8" t="n">
        <v>69.43</v>
      </c>
      <c r="F9" s="8" t="n">
        <v>63.02</v>
      </c>
      <c r="G9" s="8" t="n">
        <v>68.67</v>
      </c>
      <c r="H9" s="8" t="n">
        <v>58.25</v>
      </c>
      <c r="I9" s="8" t="n">
        <v>57.12</v>
      </c>
      <c r="J9" s="8" t="n">
        <v>56.99</v>
      </c>
      <c r="K9" s="8" t="n">
        <v>60.06</v>
      </c>
      <c r="L9" s="8" t="n">
        <v>56</v>
      </c>
      <c r="M9" s="8" t="n">
        <v>52.66</v>
      </c>
      <c r="N9" s="8" t="n">
        <v>54.7</v>
      </c>
      <c r="O9" s="8" t="n">
        <v>57.42</v>
      </c>
      <c r="P9" s="8" t="n">
        <v>59.99</v>
      </c>
      <c r="Q9" s="8" t="n">
        <v>75.81</v>
      </c>
      <c r="R9" s="9" t="n">
        <f aca="false">IF(COUNT(C9:Q9)=0,"",MEDIAN(C9:Q9))</f>
        <v>58.59</v>
      </c>
    </row>
    <row r="10" customFormat="false" ht="15" hidden="false" customHeight="true" outlineLevel="0" collapsed="false">
      <c r="A10" s="7" t="s">
        <v>113</v>
      </c>
      <c r="B10" s="7" t="s">
        <v>119</v>
      </c>
      <c r="C10" s="8" t="n">
        <v>70.06</v>
      </c>
      <c r="D10" s="8" t="n">
        <v>74.44</v>
      </c>
      <c r="E10" s="8" t="n">
        <v>80</v>
      </c>
      <c r="F10" s="8" t="n">
        <v>91.94</v>
      </c>
      <c r="G10" s="8" t="n">
        <v>74.18</v>
      </c>
      <c r="H10" s="8" t="n">
        <v>73.77</v>
      </c>
      <c r="I10" s="8" t="n">
        <v>74.22</v>
      </c>
      <c r="J10" s="8" t="n">
        <v>74.25</v>
      </c>
      <c r="K10" s="8" t="n">
        <v>74.99</v>
      </c>
      <c r="L10" s="8" t="n">
        <v>79.06</v>
      </c>
      <c r="M10" s="8" t="n">
        <v>77.58</v>
      </c>
      <c r="N10" s="8" t="n">
        <v>74.87</v>
      </c>
      <c r="O10" s="8" t="n">
        <v>76.61</v>
      </c>
      <c r="P10" s="8" t="n">
        <v>74.63</v>
      </c>
      <c r="Q10" s="8" t="n">
        <v>73.88</v>
      </c>
      <c r="R10" s="9" t="n">
        <f aca="false">IF(COUNT(C10:Q10)=0,"",MEDIAN(C10:Q10))</f>
        <v>74.63</v>
      </c>
    </row>
    <row r="11" customFormat="false" ht="15" hidden="false" customHeight="true" outlineLevel="0" collapsed="false">
      <c r="A11" s="7" t="s">
        <v>113</v>
      </c>
      <c r="B11" s="7" t="s">
        <v>120</v>
      </c>
      <c r="C11" s="8" t="n">
        <v>98.66</v>
      </c>
      <c r="D11" s="8" t="n">
        <v>70.84</v>
      </c>
      <c r="E11" s="8" t="n">
        <v>68.65</v>
      </c>
      <c r="F11" s="8" t="n">
        <v>69.98</v>
      </c>
      <c r="G11" s="8" t="n">
        <v>78.73</v>
      </c>
      <c r="H11" s="8" t="n">
        <v>73.09</v>
      </c>
      <c r="I11" s="8" t="n">
        <v>79.84</v>
      </c>
      <c r="J11" s="8" t="n">
        <v>72.47</v>
      </c>
      <c r="K11" s="8" t="n">
        <v>82.55</v>
      </c>
      <c r="L11" s="8" t="n">
        <v>85.41</v>
      </c>
      <c r="M11" s="8" t="n">
        <v>72.38</v>
      </c>
      <c r="N11" s="8" t="n">
        <v>68.33</v>
      </c>
      <c r="O11" s="8" t="n">
        <v>71.33</v>
      </c>
      <c r="P11" s="8" t="n">
        <v>74.68</v>
      </c>
      <c r="Q11" s="8" t="n">
        <v>73.01</v>
      </c>
      <c r="R11" s="9" t="n">
        <f aca="false">IF(COUNT(C11:Q11)=0,"",MEDIAN(C11:Q11))</f>
        <v>73.01</v>
      </c>
    </row>
    <row r="12" customFormat="false" ht="15" hidden="false" customHeight="true" outlineLevel="0" collapsed="false">
      <c r="A12" s="7" t="s">
        <v>121</v>
      </c>
      <c r="B12" s="7" t="s">
        <v>114</v>
      </c>
      <c r="C12" s="8" t="n">
        <v>0.88</v>
      </c>
      <c r="D12" s="8" t="n">
        <v>1.37</v>
      </c>
      <c r="E12" s="8" t="n">
        <v>1.02</v>
      </c>
      <c r="F12" s="8" t="n">
        <v>0.99</v>
      </c>
      <c r="G12" s="8" t="n">
        <v>0.88</v>
      </c>
      <c r="H12" s="8" t="n">
        <v>0.88</v>
      </c>
      <c r="I12" s="8" t="n">
        <v>0.9</v>
      </c>
      <c r="J12" s="8" t="n">
        <v>0.99</v>
      </c>
      <c r="K12" s="8" t="n">
        <v>0.93</v>
      </c>
      <c r="L12" s="8" t="n">
        <v>0.9</v>
      </c>
      <c r="M12" s="8" t="n">
        <v>0.87</v>
      </c>
      <c r="N12" s="8" t="n">
        <v>0.96</v>
      </c>
      <c r="O12" s="8" t="n">
        <v>0.91</v>
      </c>
      <c r="P12" s="8" t="n">
        <v>0.93</v>
      </c>
      <c r="Q12" s="8" t="n">
        <v>0.91</v>
      </c>
      <c r="R12" s="9" t="n">
        <f aca="false">IF(COUNT(C12:Q12)=0,"",MEDIAN(C12:Q12))</f>
        <v>0.91</v>
      </c>
    </row>
    <row r="13" customFormat="false" ht="15" hidden="false" customHeight="true" outlineLevel="0" collapsed="false">
      <c r="A13" s="7" t="s">
        <v>121</v>
      </c>
      <c r="B13" s="7" t="s">
        <v>115</v>
      </c>
      <c r="C13" s="8" t="n">
        <v>8.79</v>
      </c>
      <c r="D13" s="8" t="n">
        <v>9.22</v>
      </c>
      <c r="E13" s="8" t="n">
        <v>10.61</v>
      </c>
      <c r="F13" s="8" t="n">
        <v>8.57</v>
      </c>
      <c r="G13" s="8" t="n">
        <v>10.15</v>
      </c>
      <c r="H13" s="8" t="n">
        <v>8.75</v>
      </c>
      <c r="I13" s="8" t="n">
        <v>8.75</v>
      </c>
      <c r="J13" s="8" t="n">
        <v>8.29</v>
      </c>
      <c r="K13" s="8" t="n">
        <v>8.37</v>
      </c>
      <c r="L13" s="8" t="n">
        <v>8.1</v>
      </c>
      <c r="M13" s="8" t="n">
        <v>9.4</v>
      </c>
      <c r="N13" s="8" t="n">
        <v>8.1</v>
      </c>
      <c r="O13" s="8" t="n">
        <v>8.08</v>
      </c>
      <c r="P13" s="8" t="n">
        <v>8.08</v>
      </c>
      <c r="Q13" s="8" t="n">
        <v>7.97</v>
      </c>
      <c r="R13" s="9" t="n">
        <f aca="false">IF(COUNT(C13:Q13)=0,"",MEDIAN(C13:Q13))</f>
        <v>8.57</v>
      </c>
    </row>
    <row r="14" customFormat="false" ht="15" hidden="false" customHeight="true" outlineLevel="0" collapsed="false">
      <c r="A14" s="7" t="s">
        <v>121</v>
      </c>
      <c r="B14" s="7" t="s">
        <v>116</v>
      </c>
      <c r="C14" s="8" t="n">
        <v>34.69</v>
      </c>
      <c r="D14" s="8" t="n">
        <v>28.6</v>
      </c>
      <c r="E14" s="8" t="n">
        <v>27.03</v>
      </c>
      <c r="F14" s="8" t="n">
        <v>27.5</v>
      </c>
      <c r="G14" s="8" t="n">
        <v>32.13</v>
      </c>
      <c r="H14" s="8" t="n">
        <v>32.31</v>
      </c>
      <c r="I14" s="8" t="n">
        <v>26.85</v>
      </c>
      <c r="J14" s="8" t="n">
        <v>33.15</v>
      </c>
      <c r="K14" s="8" t="n">
        <v>33.71</v>
      </c>
      <c r="L14" s="8" t="n">
        <v>26.44</v>
      </c>
      <c r="M14" s="8" t="n">
        <v>31.17</v>
      </c>
      <c r="N14" s="8" t="n">
        <v>32.79</v>
      </c>
      <c r="O14" s="8" t="n">
        <v>34.09</v>
      </c>
      <c r="P14" s="8" t="n">
        <v>41.39</v>
      </c>
      <c r="Q14" s="8" t="n">
        <v>39.76</v>
      </c>
      <c r="R14" s="9" t="n">
        <f aca="false">IF(COUNT(C14:Q14)=0,"",MEDIAN(C14:Q14))</f>
        <v>32.31</v>
      </c>
    </row>
    <row r="15" customFormat="false" ht="15" hidden="false" customHeight="true" outlineLevel="0" collapsed="false">
      <c r="A15" s="7" t="s">
        <v>121</v>
      </c>
      <c r="B15" s="7" t="s">
        <v>117</v>
      </c>
      <c r="C15" s="8" t="n">
        <v>25.13</v>
      </c>
      <c r="D15" s="8" t="n">
        <v>28.17</v>
      </c>
      <c r="E15" s="8" t="n">
        <v>28.4</v>
      </c>
      <c r="F15" s="8" t="n">
        <v>26.83</v>
      </c>
      <c r="G15" s="8" t="n">
        <v>25.7</v>
      </c>
      <c r="H15" s="8" t="n">
        <v>27.75</v>
      </c>
      <c r="I15" s="8" t="n">
        <v>27.46</v>
      </c>
      <c r="J15" s="8" t="n">
        <v>26.45</v>
      </c>
      <c r="K15" s="8" t="n">
        <v>26.98</v>
      </c>
      <c r="L15" s="8" t="n">
        <v>25.85</v>
      </c>
      <c r="M15" s="8" t="n">
        <v>25.92</v>
      </c>
      <c r="N15" s="8" t="n">
        <v>25.85</v>
      </c>
      <c r="O15" s="8" t="n">
        <v>26.83</v>
      </c>
      <c r="P15" s="8" t="n">
        <v>26.19</v>
      </c>
      <c r="Q15" s="8" t="n">
        <v>26.69</v>
      </c>
      <c r="R15" s="9" t="n">
        <f aca="false">IF(COUNT(C15:Q15)=0,"",MEDIAN(C15:Q15))</f>
        <v>26.69</v>
      </c>
    </row>
    <row r="16" customFormat="false" ht="15" hidden="false" customHeight="true" outlineLevel="0" collapsed="false">
      <c r="A16" s="7" t="s">
        <v>121</v>
      </c>
      <c r="B16" s="7" t="s">
        <v>118</v>
      </c>
      <c r="C16" s="8" t="n">
        <v>35</v>
      </c>
      <c r="D16" s="8" t="n">
        <v>38.36</v>
      </c>
      <c r="E16" s="8" t="n">
        <v>38.27</v>
      </c>
      <c r="F16" s="8" t="n">
        <v>39.22</v>
      </c>
      <c r="G16" s="8" t="n">
        <v>34.57</v>
      </c>
      <c r="H16" s="8" t="n">
        <v>40.19</v>
      </c>
      <c r="I16" s="8" t="n">
        <v>48.47</v>
      </c>
      <c r="J16" s="8" t="n">
        <v>37.96</v>
      </c>
      <c r="K16" s="8" t="n">
        <v>37.93</v>
      </c>
      <c r="L16" s="8" t="n">
        <v>39.16</v>
      </c>
      <c r="M16" s="8" t="n">
        <v>38.17</v>
      </c>
      <c r="N16" s="8" t="n">
        <v>41.03</v>
      </c>
      <c r="O16" s="8" t="n">
        <v>37.07</v>
      </c>
      <c r="P16" s="8" t="n">
        <v>44.26</v>
      </c>
      <c r="Q16" s="8" t="n">
        <v>39.12</v>
      </c>
      <c r="R16" s="9" t="n">
        <f aca="false">IF(COUNT(C16:Q16)=0,"",MEDIAN(C16:Q16))</f>
        <v>38.36</v>
      </c>
    </row>
    <row r="17" customFormat="false" ht="15" hidden="false" customHeight="true" outlineLevel="0" collapsed="false">
      <c r="A17" s="7" t="s">
        <v>121</v>
      </c>
      <c r="B17" s="7" t="s">
        <v>119</v>
      </c>
      <c r="C17" s="8" t="n">
        <v>58.25</v>
      </c>
      <c r="D17" s="8" t="n">
        <v>71.14</v>
      </c>
      <c r="E17" s="8" t="n">
        <v>62.39</v>
      </c>
      <c r="F17" s="8" t="n">
        <v>67.97</v>
      </c>
      <c r="G17" s="8" t="n">
        <v>75.25</v>
      </c>
      <c r="H17" s="8" t="n">
        <v>66.56</v>
      </c>
      <c r="I17" s="8" t="n">
        <v>50.39</v>
      </c>
      <c r="J17" s="8" t="n">
        <v>49.05</v>
      </c>
      <c r="K17" s="8" t="n">
        <v>49.6</v>
      </c>
      <c r="L17" s="8" t="n">
        <v>49.37</v>
      </c>
      <c r="M17" s="8" t="n">
        <v>50.01</v>
      </c>
      <c r="N17" s="8" t="n">
        <v>47.46</v>
      </c>
      <c r="O17" s="8" t="n">
        <v>63.82</v>
      </c>
      <c r="P17" s="8" t="n">
        <v>57.54</v>
      </c>
      <c r="Q17" s="8" t="n">
        <v>59.59</v>
      </c>
      <c r="R17" s="9" t="n">
        <f aca="false">IF(COUNT(C17:Q17)=0,"",MEDIAN(C17:Q17))</f>
        <v>58.25</v>
      </c>
    </row>
    <row r="18" customFormat="false" ht="15" hidden="false" customHeight="true" outlineLevel="0" collapsed="false">
      <c r="A18" s="7" t="s">
        <v>121</v>
      </c>
      <c r="B18" s="7" t="s">
        <v>120</v>
      </c>
      <c r="C18" s="8" t="n">
        <v>34.42</v>
      </c>
      <c r="D18" s="8" t="n">
        <v>38.01</v>
      </c>
      <c r="E18" s="8" t="n">
        <v>39.5</v>
      </c>
      <c r="F18" s="8" t="n">
        <v>35.92</v>
      </c>
      <c r="G18" s="8" t="n">
        <v>36.35</v>
      </c>
      <c r="H18" s="8" t="n">
        <v>36.98</v>
      </c>
      <c r="I18" s="8" t="n">
        <v>36.66</v>
      </c>
      <c r="J18" s="8" t="n">
        <v>35.26</v>
      </c>
      <c r="K18" s="8" t="n">
        <v>35.87</v>
      </c>
      <c r="L18" s="8" t="n">
        <v>34.43</v>
      </c>
      <c r="M18" s="8" t="n">
        <v>35.78</v>
      </c>
      <c r="N18" s="8" t="n">
        <v>34.49</v>
      </c>
      <c r="O18" s="8" t="n">
        <v>35.47</v>
      </c>
      <c r="P18" s="8" t="n">
        <v>34.76</v>
      </c>
      <c r="Q18" s="8" t="n">
        <v>35.11</v>
      </c>
      <c r="R18" s="9" t="n">
        <f aca="false">IF(COUNT(C18:Q18)=0,"",MEDIAN(C18:Q18))</f>
        <v>35.78</v>
      </c>
    </row>
    <row r="20" customFormat="false" ht="15" hidden="false" customHeight="true" outlineLevel="0" collapsed="false">
      <c r="A20" s="10" t="s">
        <v>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6"/>
    <col collapsed="false" customWidth="true" hidden="false" outlineLevel="0" max="3" min="3" style="1" width="10"/>
    <col collapsed="false" customWidth="true" hidden="false" outlineLevel="0" max="4" min="4" style="1" width="14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16"/>
    <col collapsed="false" customWidth="true" hidden="false" outlineLevel="0" max="8" min="8" style="1" width="13"/>
    <col collapsed="false" customWidth="true" hidden="false" outlineLevel="0" max="11" min="9" style="1" width="16"/>
    <col collapsed="false" customWidth="true" hidden="false" outlineLevel="0" max="12" min="12" style="1" width="62"/>
    <col collapsed="false" customWidth="true" hidden="false" outlineLevel="0" max="14" min="13" style="1" width="14"/>
  </cols>
  <sheetData>
    <row r="1" customFormat="false" ht="17.25" hidden="false" customHeight="true" outlineLevel="0" collapsed="false">
      <c r="A1" s="2" t="s">
        <v>123</v>
      </c>
    </row>
    <row r="2" customFormat="false" ht="15" hidden="false" customHeight="true" outlineLevel="0" collapsed="false">
      <c r="A2" s="3" t="s">
        <v>124</v>
      </c>
    </row>
    <row r="4" customFormat="false" ht="23.25" hidden="false" customHeight="true" outlineLevel="0" collapsed="false">
      <c r="A4" s="4" t="s">
        <v>96</v>
      </c>
      <c r="B4" s="4" t="s">
        <v>3</v>
      </c>
      <c r="C4" s="4" t="s">
        <v>125</v>
      </c>
      <c r="D4" s="4" t="s">
        <v>126</v>
      </c>
      <c r="E4" s="4" t="s">
        <v>127</v>
      </c>
      <c r="F4" s="4" t="s">
        <v>128</v>
      </c>
      <c r="G4" s="4" t="s">
        <v>129</v>
      </c>
      <c r="H4" s="4" t="s">
        <v>130</v>
      </c>
      <c r="I4" s="4" t="s">
        <v>131</v>
      </c>
      <c r="J4" s="4" t="s">
        <v>132</v>
      </c>
      <c r="K4" s="4" t="s">
        <v>133</v>
      </c>
      <c r="L4" s="4" t="s">
        <v>134</v>
      </c>
      <c r="M4" s="4" t="s">
        <v>135</v>
      </c>
      <c r="N4" s="4" t="s">
        <v>136</v>
      </c>
    </row>
    <row r="5" customFormat="false" ht="15" hidden="false" customHeight="true" outlineLevel="0" collapsed="false">
      <c r="A5" s="7" t="s">
        <v>113</v>
      </c>
      <c r="B5" s="7" t="s">
        <v>137</v>
      </c>
      <c r="C5" s="11" t="n">
        <v>0.2329</v>
      </c>
      <c r="D5" s="11" t="n">
        <v>0.2197</v>
      </c>
      <c r="E5" s="11" t="n">
        <v>6.817</v>
      </c>
      <c r="F5" s="11" t="n">
        <v>0.0042</v>
      </c>
      <c r="G5" s="11" t="n">
        <v>0.0463</v>
      </c>
      <c r="H5" s="12" t="s">
        <v>138</v>
      </c>
      <c r="I5" s="7" t="s">
        <v>138</v>
      </c>
      <c r="J5" s="7" t="s">
        <v>138</v>
      </c>
      <c r="K5" s="7" t="s">
        <v>138</v>
      </c>
      <c r="L5" s="13"/>
      <c r="M5" s="14" t="n">
        <v>0.001</v>
      </c>
      <c r="N5" s="14" t="n">
        <v>0.0003</v>
      </c>
    </row>
    <row r="6" customFormat="false" ht="15" hidden="false" customHeight="true" outlineLevel="0" collapsed="false">
      <c r="A6" s="7" t="s">
        <v>113</v>
      </c>
      <c r="B6" s="7" t="s">
        <v>114</v>
      </c>
      <c r="C6" s="11" t="n">
        <v>0.5084</v>
      </c>
      <c r="D6" s="11" t="n">
        <v>0.281</v>
      </c>
      <c r="E6" s="11" t="n">
        <v>6.602</v>
      </c>
      <c r="F6" s="11" t="n">
        <v>0.0082</v>
      </c>
      <c r="G6" s="11" t="n">
        <v>0.0891</v>
      </c>
      <c r="H6" s="15" t="n">
        <f aca="false">Runtime!R5</f>
        <v>1.29</v>
      </c>
      <c r="I6" s="16" t="n">
        <f aca="false">IF(OR(D6="",D$5=""),"",D6/D$5-1)</f>
        <v>0.279016841147019</v>
      </c>
      <c r="J6" s="16" t="n">
        <f aca="false">IF(OR(E6="",E$5=""),"",E6/E$5-1)</f>
        <v>-0.0315388000586768</v>
      </c>
      <c r="K6" s="16" t="n">
        <f aca="false">IF(OR(G6="",G$5=""),"",G6/G$5-1)</f>
        <v>0.924406047516199</v>
      </c>
      <c r="L6" s="13" t="s">
        <v>139</v>
      </c>
      <c r="M6" s="14" t="n">
        <v>0.0028</v>
      </c>
      <c r="N6" s="14" t="n">
        <v>0.0369</v>
      </c>
    </row>
    <row r="7" customFormat="false" ht="15" hidden="false" customHeight="true" outlineLevel="0" collapsed="false">
      <c r="A7" s="7" t="s">
        <v>113</v>
      </c>
      <c r="B7" s="7" t="s">
        <v>115</v>
      </c>
      <c r="C7" s="11" t="n">
        <v>0.3571</v>
      </c>
      <c r="D7" s="11" t="n">
        <v>0.2895</v>
      </c>
      <c r="E7" s="11" t="n">
        <v>7.7037</v>
      </c>
      <c r="F7" s="11" t="n">
        <v>0.0074</v>
      </c>
      <c r="G7" s="11" t="n">
        <v>0.0816</v>
      </c>
      <c r="H7" s="15" t="n">
        <f aca="false">Runtime!R6</f>
        <v>13.88</v>
      </c>
      <c r="I7" s="16" t="n">
        <f aca="false">IF(OR(D7="",D$5=""),"",D7/D$5-1)</f>
        <v>0.317705962676377</v>
      </c>
      <c r="J7" s="16" t="n">
        <f aca="false">IF(OR(E7="",E$5=""),"",E7/E$5-1)</f>
        <v>0.130071879125715</v>
      </c>
      <c r="K7" s="16" t="n">
        <f aca="false">IF(OR(G7="",G$5=""),"",G7/G$5-1)</f>
        <v>0.762419006479482</v>
      </c>
      <c r="L7" s="13" t="s">
        <v>140</v>
      </c>
      <c r="M7" s="14" t="n">
        <v>0.0018</v>
      </c>
      <c r="N7" s="14" t="n">
        <v>0.0066</v>
      </c>
    </row>
    <row r="8" customFormat="false" ht="23.25" hidden="false" customHeight="true" outlineLevel="0" collapsed="false">
      <c r="A8" s="7" t="s">
        <v>113</v>
      </c>
      <c r="B8" s="7" t="s">
        <v>116</v>
      </c>
      <c r="C8" s="11" t="n">
        <v>0.4999</v>
      </c>
      <c r="D8" s="11" t="n">
        <v>0.0392</v>
      </c>
      <c r="E8" s="11" t="n">
        <v>5.0781</v>
      </c>
      <c r="F8" s="11" t="n">
        <v>0.0099</v>
      </c>
      <c r="G8" s="11" t="n">
        <v>0.1038</v>
      </c>
      <c r="H8" s="15" t="n">
        <f aca="false">Runtime!R7</f>
        <v>62.52</v>
      </c>
      <c r="I8" s="16" t="n">
        <f aca="false">IF(OR(D8="",D$5=""),"",D8/D$5-1)</f>
        <v>-0.821574874829313</v>
      </c>
      <c r="J8" s="16" t="n">
        <f aca="false">IF(OR(E8="",E$5=""),"",E8/E$5-1)</f>
        <v>-0.255082881032712</v>
      </c>
      <c r="K8" s="16" t="n">
        <f aca="false">IF(OR(G8="",G$5=""),"",G8/G$5-1)</f>
        <v>1.24190064794816</v>
      </c>
      <c r="L8" s="13" t="s">
        <v>141</v>
      </c>
      <c r="M8" s="14" t="n">
        <v>0.0035</v>
      </c>
      <c r="N8" s="14" t="n">
        <v>0.0342</v>
      </c>
    </row>
    <row r="9" customFormat="false" ht="23.25" hidden="false" customHeight="true" outlineLevel="0" collapsed="false">
      <c r="A9" s="7" t="s">
        <v>113</v>
      </c>
      <c r="B9" s="7" t="s">
        <v>117</v>
      </c>
      <c r="C9" s="11" t="n">
        <v>0.3527</v>
      </c>
      <c r="D9" s="11" t="n">
        <v>0.2224</v>
      </c>
      <c r="E9" s="11" t="n">
        <v>6.9593</v>
      </c>
      <c r="F9" s="11" t="n">
        <v>0.0088</v>
      </c>
      <c r="G9" s="11" t="n">
        <v>0.0938</v>
      </c>
      <c r="H9" s="15" t="n">
        <f aca="false">Runtime!R8</f>
        <v>56.96</v>
      </c>
      <c r="I9" s="16" t="n">
        <f aca="false">IF(OR(D9="",D$5=""),"",D9/D$5-1)</f>
        <v>0.0122894856622666</v>
      </c>
      <c r="J9" s="16" t="n">
        <f aca="false">IF(OR(E9="",E$5=""),"",E9/E$5-1)</f>
        <v>0.020874284876045</v>
      </c>
      <c r="K9" s="16" t="n">
        <f aca="false">IF(OR(G9="",G$5=""),"",G9/G$5-1)</f>
        <v>1.02591792656587</v>
      </c>
      <c r="L9" s="13" t="s">
        <v>142</v>
      </c>
      <c r="M9" s="14" t="n">
        <v>0.0027</v>
      </c>
      <c r="N9" s="14" t="n">
        <v>0.0216</v>
      </c>
    </row>
    <row r="10" customFormat="false" ht="15" hidden="false" customHeight="true" outlineLevel="0" collapsed="false">
      <c r="A10" s="7" t="s">
        <v>113</v>
      </c>
      <c r="B10" s="7" t="s">
        <v>118</v>
      </c>
      <c r="C10" s="11" t="n">
        <v>0.4097</v>
      </c>
      <c r="D10" s="11" t="n">
        <v>0.1645</v>
      </c>
      <c r="E10" s="11" t="n">
        <v>6.8962</v>
      </c>
      <c r="F10" s="11" t="n">
        <v>0.0106</v>
      </c>
      <c r="G10" s="11" t="n">
        <v>0.1127</v>
      </c>
      <c r="H10" s="15" t="n">
        <f aca="false">Runtime!R9</f>
        <v>58.59</v>
      </c>
      <c r="I10" s="16" t="n">
        <f aca="false">IF(OR(D10="",D$5=""),"",D10/D$5-1)</f>
        <v>-0.251251706873009</v>
      </c>
      <c r="J10" s="16" t="n">
        <f aca="false">IF(OR(E10="",E$5=""),"",E10/E$5-1)</f>
        <v>0.0116180137890567</v>
      </c>
      <c r="K10" s="16" t="n">
        <f aca="false">IF(OR(G10="",G$5=""),"",G10/G$5-1)</f>
        <v>1.4341252699784</v>
      </c>
      <c r="L10" s="13" t="s">
        <v>143</v>
      </c>
      <c r="M10" s="14" t="n">
        <v>0.0033</v>
      </c>
      <c r="N10" s="14" t="n">
        <v>0.0307</v>
      </c>
    </row>
    <row r="11" customFormat="false" ht="23.25" hidden="false" customHeight="true" outlineLevel="0" collapsed="false">
      <c r="A11" s="7" t="s">
        <v>113</v>
      </c>
      <c r="B11" s="7" t="s">
        <v>119</v>
      </c>
      <c r="C11" s="11" t="n">
        <v>0.4085</v>
      </c>
      <c r="D11" s="11" t="n">
        <v>0.2991</v>
      </c>
      <c r="E11" s="11" t="n">
        <v>7.8226</v>
      </c>
      <c r="F11" s="11" t="n">
        <v>0.0093</v>
      </c>
      <c r="G11" s="11" t="n">
        <v>0.1042</v>
      </c>
      <c r="H11" s="15" t="n">
        <f aca="false">Runtime!R10</f>
        <v>74.63</v>
      </c>
      <c r="I11" s="16" t="n">
        <f aca="false">IF(OR(D11="",D$5=""),"",D11/D$5-1)</f>
        <v>0.36140191169777</v>
      </c>
      <c r="J11" s="16" t="n">
        <f aca="false">IF(OR(E11="",E$5=""),"",E11/E$5-1)</f>
        <v>0.14751356901863</v>
      </c>
      <c r="K11" s="16" t="n">
        <f aca="false">IF(OR(G11="",G$5=""),"",G11/G$5-1)</f>
        <v>1.25053995680346</v>
      </c>
      <c r="L11" s="13" t="s">
        <v>144</v>
      </c>
      <c r="M11" s="14" t="n">
        <v>0.0014</v>
      </c>
      <c r="N11" s="14" t="n">
        <v>0.0149</v>
      </c>
    </row>
    <row r="12" customFormat="false" ht="15" hidden="false" customHeight="true" outlineLevel="0" collapsed="false">
      <c r="A12" s="7" t="s">
        <v>113</v>
      </c>
      <c r="B12" s="7" t="s">
        <v>120</v>
      </c>
      <c r="C12" s="11" t="n">
        <v>0.3553</v>
      </c>
      <c r="D12" s="11" t="n">
        <v>0.26</v>
      </c>
      <c r="E12" s="11" t="n">
        <v>7.4768</v>
      </c>
      <c r="F12" s="11" t="n">
        <v>0.0075</v>
      </c>
      <c r="G12" s="11" t="n">
        <v>0.082</v>
      </c>
      <c r="H12" s="15" t="n">
        <f aca="false">Runtime!R11</f>
        <v>73.01</v>
      </c>
      <c r="I12" s="16" t="n">
        <f aca="false">IF(OR(D12="",D$5=""),"",D12/D$5-1)</f>
        <v>0.183431952662722</v>
      </c>
      <c r="J12" s="16" t="n">
        <f aca="false">IF(OR(E12="",E$5=""),"",E12/E$5-1)</f>
        <v>0.0967874431568139</v>
      </c>
      <c r="K12" s="16" t="n">
        <f aca="false">IF(OR(G12="",G$5=""),"",G12/G$5-1)</f>
        <v>0.771058315334773</v>
      </c>
      <c r="L12" s="13" t="s">
        <v>145</v>
      </c>
      <c r="M12" s="14" t="n">
        <v>0.0016</v>
      </c>
      <c r="N12" s="14" t="n">
        <v>0.01</v>
      </c>
    </row>
    <row r="14" customFormat="false" ht="15" hidden="false" customHeight="true" outlineLevel="0" collapsed="false">
      <c r="A14" s="7" t="s">
        <v>121</v>
      </c>
      <c r="B14" s="7" t="s">
        <v>137</v>
      </c>
      <c r="C14" s="11" t="n">
        <v>0.0812</v>
      </c>
      <c r="D14" s="11" t="n">
        <v>0.1092</v>
      </c>
      <c r="E14" s="11" t="n">
        <v>5.1735</v>
      </c>
      <c r="F14" s="11" t="n">
        <v>0.0039</v>
      </c>
      <c r="G14" s="11" t="n">
        <v>0.0417</v>
      </c>
      <c r="H14" s="12" t="s">
        <v>138</v>
      </c>
      <c r="I14" s="7" t="s">
        <v>138</v>
      </c>
      <c r="J14" s="7" t="s">
        <v>138</v>
      </c>
      <c r="K14" s="7" t="s">
        <v>138</v>
      </c>
      <c r="L14" s="13"/>
      <c r="M14" s="14" t="n">
        <v>0.0008</v>
      </c>
      <c r="N14" s="14" t="n">
        <v>0.0044</v>
      </c>
    </row>
    <row r="15" customFormat="false" ht="15" hidden="false" customHeight="true" outlineLevel="0" collapsed="false">
      <c r="A15" s="7" t="s">
        <v>121</v>
      </c>
      <c r="B15" s="7" t="s">
        <v>114</v>
      </c>
      <c r="C15" s="11" t="n">
        <v>0.5373</v>
      </c>
      <c r="D15" s="11" t="n">
        <v>0.2449</v>
      </c>
      <c r="E15" s="11" t="n">
        <v>5.0137</v>
      </c>
      <c r="F15" s="11" t="n">
        <v>0.014</v>
      </c>
      <c r="G15" s="11" t="n">
        <v>0.1375</v>
      </c>
      <c r="H15" s="15" t="n">
        <f aca="false">Runtime!R12</f>
        <v>0.91</v>
      </c>
      <c r="I15" s="16" t="n">
        <f aca="false">IF(OR(D15="",D$14=""),"",D15/D$14-1)</f>
        <v>1.24267399267399</v>
      </c>
      <c r="J15" s="16" t="n">
        <f aca="false">IF(OR(E15="",E$14=""),"",E15/E$14-1)</f>
        <v>-0.0308881801488353</v>
      </c>
      <c r="K15" s="16" t="n">
        <f aca="false">IF(OR(G15="",G$14=""),"",G15/G$14-1)</f>
        <v>2.29736211031175</v>
      </c>
      <c r="L15" s="13" t="s">
        <v>146</v>
      </c>
      <c r="M15" s="14" t="n">
        <v>0.0039</v>
      </c>
      <c r="N15" s="14" t="n">
        <v>0.0628</v>
      </c>
    </row>
    <row r="16" customFormat="false" ht="23.25" hidden="false" customHeight="true" outlineLevel="0" collapsed="false">
      <c r="A16" s="7" t="s">
        <v>121</v>
      </c>
      <c r="B16" s="7" t="s">
        <v>115</v>
      </c>
      <c r="C16" s="11" t="n">
        <v>0.2554</v>
      </c>
      <c r="D16" s="11" t="n">
        <v>0.2061</v>
      </c>
      <c r="E16" s="11" t="n">
        <v>6.7599</v>
      </c>
      <c r="F16" s="11" t="n">
        <v>0.0103</v>
      </c>
      <c r="G16" s="11" t="n">
        <v>0.1063</v>
      </c>
      <c r="H16" s="15" t="n">
        <f aca="false">Runtime!R13</f>
        <v>8.57</v>
      </c>
      <c r="I16" s="16" t="n">
        <f aca="false">IF(OR(D16="",D$14=""),"",D16/D$14-1)</f>
        <v>0.887362637362637</v>
      </c>
      <c r="J16" s="16" t="n">
        <f aca="false">IF(OR(E16="",E$14=""),"",E16/E$14-1)</f>
        <v>0.306639605682807</v>
      </c>
      <c r="K16" s="16" t="n">
        <f aca="false">IF(OR(G16="",G$14=""),"",G16/G$14-1)</f>
        <v>1.54916067146283</v>
      </c>
      <c r="L16" s="13" t="s">
        <v>147</v>
      </c>
      <c r="M16" s="14" t="n">
        <v>0.0016</v>
      </c>
      <c r="N16" s="14" t="n">
        <v>0.0239</v>
      </c>
    </row>
    <row r="17" customFormat="false" ht="15" hidden="false" customHeight="true" outlineLevel="0" collapsed="false">
      <c r="A17" s="7" t="s">
        <v>121</v>
      </c>
      <c r="B17" s="7" t="s">
        <v>116</v>
      </c>
      <c r="C17" s="11" t="n">
        <v>0.5002</v>
      </c>
      <c r="D17" s="11" t="n">
        <v>0.0291</v>
      </c>
      <c r="E17" s="11" t="n">
        <v>4.0906</v>
      </c>
      <c r="F17" s="11" t="n">
        <v>0.0054</v>
      </c>
      <c r="G17" s="11" t="n">
        <v>0.0547</v>
      </c>
      <c r="H17" s="15" t="n">
        <f aca="false">Runtime!R14</f>
        <v>32.31</v>
      </c>
      <c r="I17" s="16" t="n">
        <f aca="false">IF(OR(D17="",D$14=""),"",D17/D$14-1)</f>
        <v>-0.733516483516484</v>
      </c>
      <c r="J17" s="16" t="n">
        <f aca="false">IF(OR(E17="",E$14=""),"",E17/E$14-1)</f>
        <v>-0.209316710157534</v>
      </c>
      <c r="K17" s="16" t="n">
        <f aca="false">IF(OR(G17="",G$14=""),"",G17/G$14-1)</f>
        <v>0.311750599520384</v>
      </c>
      <c r="L17" s="13" t="s">
        <v>148</v>
      </c>
      <c r="M17" s="14" t="n">
        <v>0.0016</v>
      </c>
      <c r="N17" s="14" t="n">
        <v>0.0116</v>
      </c>
    </row>
    <row r="18" customFormat="false" ht="23.25" hidden="false" customHeight="true" outlineLevel="0" collapsed="false">
      <c r="A18" s="7" t="s">
        <v>121</v>
      </c>
      <c r="B18" s="7" t="s">
        <v>117</v>
      </c>
      <c r="C18" s="11" t="n">
        <v>0.1351</v>
      </c>
      <c r="D18" s="11" t="n">
        <v>0.0769</v>
      </c>
      <c r="E18" s="11" t="n">
        <v>4.9642</v>
      </c>
      <c r="F18" s="11" t="n">
        <v>0.0057</v>
      </c>
      <c r="G18" s="11" t="n">
        <v>0.0591</v>
      </c>
      <c r="H18" s="15" t="n">
        <f aca="false">Runtime!R15</f>
        <v>26.69</v>
      </c>
      <c r="I18" s="16" t="n">
        <f aca="false">IF(OR(D18="",D$14=""),"",D18/D$14-1)</f>
        <v>-0.295787545787546</v>
      </c>
      <c r="J18" s="16" t="n">
        <f aca="false">IF(OR(E18="",E$14=""),"",E18/E$14-1)</f>
        <v>-0.0404561708707838</v>
      </c>
      <c r="K18" s="16" t="n">
        <f aca="false">IF(OR(G18="",G$14=""),"",G18/G$14-1)</f>
        <v>0.41726618705036</v>
      </c>
      <c r="L18" s="13" t="s">
        <v>149</v>
      </c>
      <c r="M18" s="14" t="n">
        <v>0.0014</v>
      </c>
      <c r="N18" s="14" t="n">
        <v>0.0124</v>
      </c>
    </row>
    <row r="19" customFormat="false" ht="15" hidden="false" customHeight="true" outlineLevel="0" collapsed="false">
      <c r="A19" s="7" t="s">
        <v>121</v>
      </c>
      <c r="B19" s="7" t="s">
        <v>118</v>
      </c>
      <c r="C19" s="11" t="n">
        <v>0.1233</v>
      </c>
      <c r="D19" s="11" t="n">
        <v>0.0674</v>
      </c>
      <c r="E19" s="11" t="n">
        <v>5.1312</v>
      </c>
      <c r="F19" s="11" t="n">
        <v>0.0069</v>
      </c>
      <c r="G19" s="11" t="n">
        <v>0.0693</v>
      </c>
      <c r="H19" s="15" t="n">
        <f aca="false">Runtime!R16</f>
        <v>38.36</v>
      </c>
      <c r="I19" s="16" t="n">
        <f aca="false">IF(OR(D19="",D$14=""),"",D19/D$14-1)</f>
        <v>-0.382783882783883</v>
      </c>
      <c r="J19" s="16" t="n">
        <f aca="false">IF(OR(E19="",E$14=""),"",E19/E$14-1)</f>
        <v>-0.00817628298057405</v>
      </c>
      <c r="K19" s="16" t="n">
        <f aca="false">IF(OR(G19="",G$14=""),"",G19/G$14-1)</f>
        <v>0.661870503597122</v>
      </c>
      <c r="L19" s="13" t="s">
        <v>150</v>
      </c>
      <c r="M19" s="14" t="n">
        <v>0.0017</v>
      </c>
      <c r="N19" s="14" t="n">
        <v>0.0117</v>
      </c>
    </row>
    <row r="20" customFormat="false" ht="23.25" hidden="false" customHeight="true" outlineLevel="0" collapsed="false">
      <c r="A20" s="7" t="s">
        <v>121</v>
      </c>
      <c r="B20" s="7" t="s">
        <v>119</v>
      </c>
      <c r="C20" s="11" t="n">
        <v>0.3067</v>
      </c>
      <c r="D20" s="11" t="n">
        <v>0.2078</v>
      </c>
      <c r="E20" s="11" t="n">
        <v>7.1101</v>
      </c>
      <c r="F20" s="11" t="n">
        <v>0.0165</v>
      </c>
      <c r="G20" s="11" t="n">
        <v>0.1736</v>
      </c>
      <c r="H20" s="15" t="n">
        <f aca="false">Runtime!R17</f>
        <v>58.25</v>
      </c>
      <c r="I20" s="16" t="n">
        <f aca="false">IF(OR(D20="",D$14=""),"",D20/D$14-1)</f>
        <v>0.902930402930403</v>
      </c>
      <c r="J20" s="16" t="n">
        <f aca="false">IF(OR(E20="",E$14=""),"",E20/E$14-1)</f>
        <v>0.374330723881318</v>
      </c>
      <c r="K20" s="16" t="n">
        <f aca="false">IF(OR(G20="",G$14=""),"",G20/G$14-1)</f>
        <v>3.16306954436451</v>
      </c>
      <c r="L20" s="13" t="s">
        <v>151</v>
      </c>
      <c r="M20" s="14" t="n">
        <v>0.0023</v>
      </c>
      <c r="N20" s="14" t="n">
        <v>0.0875</v>
      </c>
    </row>
    <row r="21" customFormat="false" ht="15" hidden="false" customHeight="true" outlineLevel="0" collapsed="false">
      <c r="A21" s="7" t="s">
        <v>121</v>
      </c>
      <c r="B21" s="7" t="s">
        <v>120</v>
      </c>
      <c r="C21" s="11" t="n">
        <v>0.2072</v>
      </c>
      <c r="D21" s="11" t="n">
        <v>0.1521</v>
      </c>
      <c r="E21" s="11" t="n">
        <v>6.2797</v>
      </c>
      <c r="F21" s="11" t="n">
        <v>0.0082</v>
      </c>
      <c r="G21" s="11" t="n">
        <v>0.0856</v>
      </c>
      <c r="H21" s="15" t="n">
        <f aca="false">Runtime!R18</f>
        <v>35.78</v>
      </c>
      <c r="I21" s="16" t="n">
        <f aca="false">IF(OR(D21="",D$14=""),"",D21/D$14-1)</f>
        <v>0.392857142857143</v>
      </c>
      <c r="J21" s="16" t="n">
        <f aca="false">IF(OR(E21="",E$14=""),"",E21/E$14-1)</f>
        <v>0.213820431042814</v>
      </c>
      <c r="K21" s="16" t="n">
        <f aca="false">IF(OR(G21="",G$14=""),"",G21/G$14-1)</f>
        <v>1.05275779376499</v>
      </c>
      <c r="L21" s="13" t="s">
        <v>152</v>
      </c>
      <c r="M21" s="14" t="n">
        <v>0.0012</v>
      </c>
      <c r="N21" s="14" t="n">
        <v>0.0169</v>
      </c>
    </row>
    <row r="23" customFormat="false" ht="15" hidden="false" customHeight="true" outlineLevel="0" collapsed="false">
      <c r="A23" s="10" t="s">
        <v>153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40"/>
    <col collapsed="false" customWidth="true" hidden="false" outlineLevel="0" max="3" min="3" style="1" width="52"/>
  </cols>
  <sheetData>
    <row r="1" customFormat="false" ht="17.25" hidden="false" customHeight="true" outlineLevel="0" collapsed="false">
      <c r="A1" s="2" t="s">
        <v>154</v>
      </c>
    </row>
    <row r="3" customFormat="false" ht="15" hidden="false" customHeight="true" outlineLevel="0" collapsed="false">
      <c r="A3" s="4" t="s">
        <v>155</v>
      </c>
      <c r="B3" s="4" t="s">
        <v>156</v>
      </c>
      <c r="C3" s="4" t="s">
        <v>157</v>
      </c>
    </row>
    <row r="4" customFormat="false" ht="15" hidden="false" customHeight="true" outlineLevel="0" collapsed="false">
      <c r="A4" s="5" t="s">
        <v>158</v>
      </c>
      <c r="B4" s="5" t="s">
        <v>159</v>
      </c>
      <c r="C4" s="5" t="s">
        <v>160</v>
      </c>
    </row>
    <row r="5" customFormat="false" ht="15" hidden="false" customHeight="true" outlineLevel="0" collapsed="false">
      <c r="A5" s="5" t="s">
        <v>161</v>
      </c>
      <c r="B5" s="5" t="s">
        <v>162</v>
      </c>
      <c r="C5" s="5" t="s">
        <v>163</v>
      </c>
    </row>
    <row r="6" customFormat="false" ht="15" hidden="false" customHeight="true" outlineLevel="0" collapsed="false">
      <c r="A6" s="5" t="s">
        <v>127</v>
      </c>
      <c r="B6" s="5" t="s">
        <v>164</v>
      </c>
      <c r="C6" s="5" t="s">
        <v>165</v>
      </c>
    </row>
    <row r="7" customFormat="false" ht="15" hidden="false" customHeight="true" outlineLevel="0" collapsed="false">
      <c r="A7" s="5" t="s">
        <v>166</v>
      </c>
      <c r="B7" s="5" t="s">
        <v>167</v>
      </c>
      <c r="C7" s="5" t="s">
        <v>168</v>
      </c>
    </row>
    <row r="8" customFormat="false" ht="15" hidden="false" customHeight="true" outlineLevel="0" collapsed="false">
      <c r="A8" s="5" t="s">
        <v>169</v>
      </c>
      <c r="B8" s="5" t="s">
        <v>170</v>
      </c>
      <c r="C8" s="5" t="s">
        <v>171</v>
      </c>
    </row>
    <row r="9" customFormat="false" ht="15" hidden="false" customHeight="true" outlineLevel="0" collapsed="false">
      <c r="A9" s="5" t="s">
        <v>172</v>
      </c>
      <c r="B9" s="5" t="s">
        <v>173</v>
      </c>
      <c r="C9" s="5" t="s">
        <v>174</v>
      </c>
    </row>
    <row r="10" customFormat="false" ht="15" hidden="false" customHeight="true" outlineLevel="0" collapsed="false">
      <c r="A10" s="5" t="s">
        <v>175</v>
      </c>
      <c r="B10" s="5" t="s">
        <v>176</v>
      </c>
      <c r="C10" s="5" t="s">
        <v>177</v>
      </c>
    </row>
    <row r="11" customFormat="false" ht="15" hidden="false" customHeight="true" outlineLevel="0" collapsed="false">
      <c r="A11" s="5" t="s">
        <v>178</v>
      </c>
      <c r="B11" s="5" t="s">
        <v>179</v>
      </c>
      <c r="C11" s="5" t="s">
        <v>180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70"/>
    <col collapsed="false" customWidth="true" hidden="false" outlineLevel="0" max="5" min="3" style="1" width="14"/>
  </cols>
  <sheetData>
    <row r="1" customFormat="false" ht="17.25" hidden="false" customHeight="true" outlineLevel="0" collapsed="false">
      <c r="A1" s="2" t="s">
        <v>181</v>
      </c>
    </row>
    <row r="2" customFormat="false" ht="15" hidden="false" customHeight="true" outlineLevel="0" collapsed="false">
      <c r="A2" s="3" t="s">
        <v>182</v>
      </c>
    </row>
    <row r="4" customFormat="false" ht="15" hidden="false" customHeight="true" outlineLevel="0" collapsed="false">
      <c r="A4" s="4" t="s">
        <v>183</v>
      </c>
      <c r="B4" s="4" t="s">
        <v>184</v>
      </c>
      <c r="C4" s="4" t="s">
        <v>185</v>
      </c>
      <c r="D4" s="4" t="s">
        <v>186</v>
      </c>
      <c r="E4" s="4" t="s">
        <v>187</v>
      </c>
    </row>
    <row r="5" customFormat="false" ht="15" hidden="false" customHeight="true" outlineLevel="0" collapsed="false">
      <c r="A5" s="5" t="n">
        <v>1</v>
      </c>
      <c r="B5" s="5" t="s">
        <v>188</v>
      </c>
      <c r="C5" s="13"/>
      <c r="D5" s="13"/>
      <c r="E5" s="13" t="s">
        <v>189</v>
      </c>
    </row>
    <row r="6" customFormat="false" ht="15" hidden="false" customHeight="true" outlineLevel="0" collapsed="false">
      <c r="A6" s="5" t="n">
        <v>2</v>
      </c>
      <c r="B6" s="5" t="s">
        <v>190</v>
      </c>
      <c r="C6" s="13"/>
      <c r="D6" s="13"/>
      <c r="E6" s="13" t="s">
        <v>189</v>
      </c>
    </row>
    <row r="7" customFormat="false" ht="15" hidden="false" customHeight="true" outlineLevel="0" collapsed="false">
      <c r="A7" s="5" t="n">
        <v>3</v>
      </c>
      <c r="B7" s="5" t="s">
        <v>191</v>
      </c>
      <c r="C7" s="13"/>
      <c r="D7" s="13"/>
      <c r="E7" s="13" t="s">
        <v>189</v>
      </c>
    </row>
    <row r="8" customFormat="false" ht="15" hidden="false" customHeight="true" outlineLevel="0" collapsed="false">
      <c r="A8" s="5" t="n">
        <v>4</v>
      </c>
      <c r="B8" s="5" t="s">
        <v>192</v>
      </c>
      <c r="C8" s="13"/>
      <c r="D8" s="13"/>
      <c r="E8" s="13" t="s">
        <v>189</v>
      </c>
    </row>
    <row r="9" customFormat="false" ht="15" hidden="false" customHeight="true" outlineLevel="0" collapsed="false">
      <c r="A9" s="5" t="n">
        <v>5</v>
      </c>
      <c r="B9" s="5" t="s">
        <v>193</v>
      </c>
      <c r="C9" s="13"/>
      <c r="D9" s="13"/>
      <c r="E9" s="13" t="s">
        <v>189</v>
      </c>
    </row>
    <row r="10" customFormat="false" ht="15" hidden="false" customHeight="true" outlineLevel="0" collapsed="false">
      <c r="A10" s="5" t="n">
        <v>6</v>
      </c>
      <c r="B10" s="5" t="s">
        <v>194</v>
      </c>
      <c r="C10" s="13"/>
      <c r="D10" s="13"/>
      <c r="E10" s="13" t="s">
        <v>189</v>
      </c>
    </row>
    <row r="11" customFormat="false" ht="15" hidden="false" customHeight="true" outlineLevel="0" collapsed="false">
      <c r="A11" s="5" t="n">
        <v>7</v>
      </c>
      <c r="B11" s="5" t="s">
        <v>195</v>
      </c>
      <c r="C11" s="13"/>
      <c r="D11" s="13"/>
      <c r="E11" s="13" t="s">
        <v>189</v>
      </c>
    </row>
    <row r="12" customFormat="false" ht="15" hidden="false" customHeight="true" outlineLevel="0" collapsed="false">
      <c r="A12" s="5" t="n">
        <v>8</v>
      </c>
      <c r="B12" s="5" t="s">
        <v>196</v>
      </c>
      <c r="C12" s="13"/>
      <c r="D12" s="13"/>
      <c r="E12" s="13" t="s">
        <v>189</v>
      </c>
    </row>
    <row r="13" customFormat="false" ht="15" hidden="false" customHeight="true" outlineLevel="0" collapsed="false">
      <c r="A13" s="5" t="n">
        <v>9</v>
      </c>
      <c r="B13" s="5" t="s">
        <v>197</v>
      </c>
      <c r="C13" s="13"/>
      <c r="D13" s="13"/>
      <c r="E13" s="13" t="s">
        <v>189</v>
      </c>
    </row>
    <row r="14" customFormat="false" ht="15" hidden="false" customHeight="true" outlineLevel="0" collapsed="false">
      <c r="A14" s="5" t="n">
        <v>10</v>
      </c>
      <c r="B14" s="5" t="s">
        <v>198</v>
      </c>
      <c r="C14" s="13"/>
      <c r="D14" s="13"/>
      <c r="E14" s="13" t="s">
        <v>189</v>
      </c>
    </row>
    <row r="15" customFormat="false" ht="15" hidden="false" customHeight="true" outlineLevel="0" collapsed="false">
      <c r="A15" s="5" t="n">
        <v>11</v>
      </c>
      <c r="B15" s="5" t="s">
        <v>199</v>
      </c>
      <c r="C15" s="13"/>
      <c r="D15" s="13"/>
      <c r="E15" s="13" t="s">
        <v>189</v>
      </c>
    </row>
    <row r="16" customFormat="false" ht="15" hidden="false" customHeight="true" outlineLevel="0" collapsed="false">
      <c r="A16" s="5" t="n">
        <v>12</v>
      </c>
      <c r="B16" s="5" t="s">
        <v>200</v>
      </c>
      <c r="C16" s="13"/>
      <c r="D16" s="13"/>
      <c r="E16" s="13" t="s">
        <v>189</v>
      </c>
    </row>
    <row r="18" customFormat="false" ht="15" hidden="false" customHeight="true" outlineLevel="0" collapsed="false">
      <c r="B18" s="17" t="s">
        <v>201</v>
      </c>
      <c r="C18" s="18" t="n">
        <f aca="false">COUNTIF(E5:E16,"Done")</f>
        <v>0</v>
      </c>
    </row>
    <row r="19" customFormat="false" ht="15" hidden="false" customHeight="true" outlineLevel="0" collapsed="false">
      <c r="B19" s="17" t="s">
        <v>202</v>
      </c>
      <c r="C19" s="19" t="n">
        <f aca="false">C18/COUNTA(B5:B16)</f>
        <v>0</v>
      </c>
    </row>
    <row r="21" customFormat="false" ht="15" hidden="false" customHeight="true" outlineLevel="0" collapsed="false">
      <c r="B21" s="10" t="s">
        <v>203</v>
      </c>
    </row>
  </sheetData>
  <dataValidations count="1">
    <dataValidation allowBlank="true" errorStyle="stop" operator="between" showDropDown="false" showErrorMessage="false" showInputMessage="false" sqref="E5:E16" type="list">
      <formula1>"Not started,In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50"/>
    <col collapsed="false" customWidth="true" hidden="false" outlineLevel="0" max="3" min="3" style="1" width="70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204</v>
      </c>
    </row>
    <row r="3" customFormat="false" ht="15" hidden="false" customHeight="true" outlineLevel="0" collapsed="false">
      <c r="A3" s="4" t="s">
        <v>183</v>
      </c>
      <c r="B3" s="4" t="s">
        <v>205</v>
      </c>
      <c r="C3" s="4" t="s">
        <v>206</v>
      </c>
      <c r="D3" s="4" t="s">
        <v>207</v>
      </c>
    </row>
    <row r="4" customFormat="false" ht="23.25" hidden="false" customHeight="true" outlineLevel="0" collapsed="false">
      <c r="A4" s="5" t="n">
        <v>1</v>
      </c>
      <c r="B4" s="5" t="s">
        <v>208</v>
      </c>
      <c r="C4" s="5" t="s">
        <v>209</v>
      </c>
      <c r="D4" s="5" t="s">
        <v>210</v>
      </c>
    </row>
    <row r="5" customFormat="false" ht="23.25" hidden="false" customHeight="true" outlineLevel="0" collapsed="false">
      <c r="A5" s="5" t="n">
        <v>2</v>
      </c>
      <c r="B5" s="5" t="s">
        <v>211</v>
      </c>
      <c r="C5" s="5" t="s">
        <v>212</v>
      </c>
      <c r="D5" s="5" t="s">
        <v>213</v>
      </c>
    </row>
    <row r="6" customFormat="false" ht="23.25" hidden="false" customHeight="true" outlineLevel="0" collapsed="false">
      <c r="A6" s="5" t="n">
        <v>3</v>
      </c>
      <c r="B6" s="5" t="s">
        <v>214</v>
      </c>
      <c r="C6" s="5" t="s">
        <v>215</v>
      </c>
      <c r="D6" s="5" t="s">
        <v>216</v>
      </c>
    </row>
    <row r="7" customFormat="false" ht="23.25" hidden="false" customHeight="true" outlineLevel="0" collapsed="false">
      <c r="A7" s="5" t="n">
        <v>4</v>
      </c>
      <c r="B7" s="5" t="s">
        <v>217</v>
      </c>
      <c r="C7" s="5" t="s">
        <v>218</v>
      </c>
      <c r="D7" s="5" t="s">
        <v>219</v>
      </c>
    </row>
    <row r="8" customFormat="false" ht="23.25" hidden="false" customHeight="true" outlineLevel="0" collapsed="false">
      <c r="A8" s="5" t="n">
        <v>5</v>
      </c>
      <c r="B8" s="5" t="s">
        <v>220</v>
      </c>
      <c r="C8" s="5" t="s">
        <v>221</v>
      </c>
      <c r="D8" s="5" t="s">
        <v>222</v>
      </c>
    </row>
    <row r="9" customFormat="false" ht="23.25" hidden="false" customHeight="true" outlineLevel="0" collapsed="false">
      <c r="A9" s="5" t="n">
        <v>6</v>
      </c>
      <c r="B9" s="5" t="s">
        <v>223</v>
      </c>
      <c r="C9" s="5" t="s">
        <v>224</v>
      </c>
      <c r="D9" s="5" t="s">
        <v>225</v>
      </c>
    </row>
    <row r="10" customFormat="false" ht="15" hidden="false" customHeight="true" outlineLevel="0" collapsed="false">
      <c r="A10" s="5" t="n">
        <v>7</v>
      </c>
      <c r="B10" s="5" t="s">
        <v>226</v>
      </c>
      <c r="C10" s="5" t="s">
        <v>227</v>
      </c>
      <c r="D10" s="5" t="s">
        <v>228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2026-10-02T19:38:37Z</dcterms:created>
  <dc:creator>openpyxl</dc:creator>
  <dc:description/>
  <dc:language>en-US</dc:language>
  <cp:lastModifiedBy/>
  <dcterms:modified xsi:type="dcterms:W3CDTF">2026-10-02T19:38:44Z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