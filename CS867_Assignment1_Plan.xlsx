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MLS\Downloads\sem3\cv\ass1\"/>
    </mc:Choice>
  </mc:AlternateContent>
  <bookViews>
    <workbookView xWindow="0" yWindow="0" windowWidth="19200" windowHeight="6930" tabRatio="500" firstSheet="1" activeTab="5"/>
  </bookViews>
  <sheets>
    <sheet name="Method Plan" sheetId="1" r:id="rId1"/>
    <sheet name="Parameter Sweep" sheetId="2" r:id="rId2"/>
    <sheet name="Runtime" sheetId="3" r:id="rId3"/>
    <sheet name="Metrics" sheetId="4" r:id="rId4"/>
    <sheet name="Metric Guide" sheetId="5" r:id="rId5"/>
    <sheet name="Checklist" sheetId="6" r:id="rId6"/>
    <sheet name="Change Log" sheetId="7" r:id="rId7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8" i="6" l="1"/>
  <c r="C19" i="6" s="1"/>
  <c r="K21" i="4"/>
  <c r="J21" i="4"/>
  <c r="I21" i="4"/>
  <c r="K20" i="4"/>
  <c r="J20" i="4"/>
  <c r="I20" i="4"/>
  <c r="K19" i="4"/>
  <c r="J19" i="4"/>
  <c r="I19" i="4"/>
  <c r="H19" i="4"/>
  <c r="K18" i="4"/>
  <c r="J18" i="4"/>
  <c r="I18" i="4"/>
  <c r="K17" i="4"/>
  <c r="J17" i="4"/>
  <c r="I17" i="4"/>
  <c r="H17" i="4"/>
  <c r="K16" i="4"/>
  <c r="J16" i="4"/>
  <c r="I16" i="4"/>
  <c r="H16" i="4"/>
  <c r="K15" i="4"/>
  <c r="J15" i="4"/>
  <c r="I15" i="4"/>
  <c r="K12" i="4"/>
  <c r="J12" i="4"/>
  <c r="I12" i="4"/>
  <c r="H12" i="4"/>
  <c r="K11" i="4"/>
  <c r="J11" i="4"/>
  <c r="I11" i="4"/>
  <c r="H11" i="4"/>
  <c r="K10" i="4"/>
  <c r="J10" i="4"/>
  <c r="I10" i="4"/>
  <c r="K9" i="4"/>
  <c r="J9" i="4"/>
  <c r="I9" i="4"/>
  <c r="K8" i="4"/>
  <c r="J8" i="4"/>
  <c r="I8" i="4"/>
  <c r="H8" i="4"/>
  <c r="K7" i="4"/>
  <c r="J7" i="4"/>
  <c r="I7" i="4"/>
  <c r="K6" i="4"/>
  <c r="J6" i="4"/>
  <c r="I6" i="4"/>
  <c r="R18" i="3"/>
  <c r="H21" i="4" s="1"/>
  <c r="R17" i="3"/>
  <c r="H20" i="4" s="1"/>
  <c r="R16" i="3"/>
  <c r="R15" i="3"/>
  <c r="H18" i="4" s="1"/>
  <c r="R14" i="3"/>
  <c r="R13" i="3"/>
  <c r="R12" i="3"/>
  <c r="H15" i="4" s="1"/>
  <c r="R11" i="3"/>
  <c r="R10" i="3"/>
  <c r="R9" i="3"/>
  <c r="H10" i="4" s="1"/>
  <c r="R8" i="3"/>
  <c r="H9" i="4" s="1"/>
  <c r="R7" i="3"/>
  <c r="R6" i="3"/>
  <c r="H7" i="4" s="1"/>
  <c r="R5" i="3"/>
  <c r="H6" i="4" s="1"/>
</calcChain>
</file>

<file path=xl/sharedStrings.xml><?xml version="1.0" encoding="utf-8"?>
<sst xmlns="http://schemas.openxmlformats.org/spreadsheetml/2006/main" count="323" uniqueCount="229">
  <si>
    <t>CS867 Assignment 1 - Method Plan</t>
  </si>
  <si>
    <t>Apply to Chest.bmp and Skeleton.bmp separately; tune parameters per image.</t>
  </si>
  <si>
    <t>Part</t>
  </si>
  <si>
    <t>Method</t>
  </si>
  <si>
    <t>Pipeline / Steps</t>
  </si>
  <si>
    <t>Main Purpose</t>
  </si>
  <si>
    <t>Key Parameters (start values)</t>
  </si>
  <si>
    <t>Risks / Artifacts</t>
  </si>
  <si>
    <t>(a) Spatial only</t>
  </si>
  <si>
    <t>Final spatial</t>
  </si>
  <si>
    <t>Percentile stretch (1-99%) -&gt; gamma -&gt; CLAHE -&gt; bilateral/median denoise -&gt; unsharp mask</t>
  </si>
  <si>
    <t>Improve local contrast and visible detail</t>
  </si>
  <si>
    <t>gamma 0.6-1.2; CLAHE clip 1.5-3.0, 8x8 tiles; unsharp sigma 1-2, k 0.5-1.2</t>
  </si>
  <si>
    <t>Noise amplification (CLAHE), halos (unsharp)</t>
  </si>
  <si>
    <t>Baseline</t>
  </si>
  <si>
    <t>Global histogram equalization</t>
  </si>
  <si>
    <t>Reference for comparison</t>
  </si>
  <si>
    <t>None</t>
  </si>
  <si>
    <t>Over-enhancement, washed-out regions</t>
  </si>
  <si>
    <t>(b) Fourier only</t>
  </si>
  <si>
    <t>Final Fourier</t>
  </si>
  <si>
    <t>Gaussian / Butterworth high-frequency emphasis: H = a + b*H_HP</t>
  </si>
  <si>
    <t>Boost selected frequencies while keeping low-frequency content</t>
  </si>
  <si>
    <t>a 0.5-1.0; b 1.0-2.0; D0 20-60; Butterworth order n = 1 or 2</t>
  </si>
  <si>
    <t>Ringing if cutoff too sharp or n too high</t>
  </si>
  <si>
    <t>Baseline (negative result)</t>
  </si>
  <si>
    <t>Plain Gaussian / ideal high-pass</t>
  </si>
  <si>
    <t>Show why removing low frequencies darkens image</t>
  </si>
  <si>
    <t>D0 20-60</t>
  </si>
  <si>
    <t>Dark edge-only image, noise amplification</t>
  </si>
  <si>
    <t>Extra experiment (optional)</t>
  </si>
  <si>
    <t>Homomorphic filter: log -&gt; FFT -&gt; H -&gt; IFFT -&gt; exp</t>
  </si>
  <si>
    <t>Correct uneven illumination</t>
  </si>
  <si>
    <t>gamma_L 0.5-0.9; gamma_H 1.2-2.0; c = 1; several D0</t>
  </si>
  <si>
    <t>Can over-flatten brightness</t>
  </si>
  <si>
    <t>(c) Hybrid 1</t>
  </si>
  <si>
    <t>Sequential</t>
  </si>
  <si>
    <t>Homomorphic -&gt; percentile stretch -&gt; CLAHE -&gt; mild unsharp -&gt; blend with original</t>
  </si>
  <si>
    <t>Fix illumination first, then local detail</t>
  </si>
  <si>
    <t>alpha 0.7 / 0.8 / 0.9 (I = alpha*processed + (1-alpha)*original)</t>
  </si>
  <si>
    <t>Higher cost; many parameters to tune</t>
  </si>
  <si>
    <t>(c) Hybrid 2</t>
  </si>
  <si>
    <t>Weighted fusion</t>
  </si>
  <si>
    <t>I = w*I_spatial + (1-w)*I_fourier</t>
  </si>
  <si>
    <t>Test whether complementary outputs balance better</t>
  </si>
  <si>
    <t>w 0.5 / 0.6 / 0.7</t>
  </si>
  <si>
    <t>Can blur both methods' strengths</t>
  </si>
  <si>
    <t>(d) Analysis</t>
  </si>
  <si>
    <t>Comparison</t>
  </si>
  <si>
    <t>Visuals, histograms, FFT spectra, filter masks, zoomed crops, metrics, runtime</t>
  </si>
  <si>
    <t>Defend which method is best and why</t>
  </si>
  <si>
    <t>Same metrics for all outputs</t>
  </si>
  <si>
    <t>Metrics reward noise; PSNR/SSIM vs original not valid quality measures</t>
  </si>
  <si>
    <t>Parameter Sweep Log</t>
  </si>
  <si>
    <t>Blue cells = your inputs. Fill Chosen? with Yes after visual inspection (do not choose by score alone).</t>
  </si>
  <si>
    <t>Parameter</t>
  </si>
  <si>
    <t>Values to test</t>
  </si>
  <si>
    <t>Chest best</t>
  </si>
  <si>
    <t>Skeleton best</t>
  </si>
  <si>
    <t>Notes (artifacts seen)</t>
  </si>
  <si>
    <t>Gamma</t>
  </si>
  <si>
    <t>Spatial</t>
  </si>
  <si>
    <t>0.6, 0.8, 1.0, 1.2</t>
  </si>
  <si>
    <t>0.8</t>
  </si>
  <si>
    <t>0.6</t>
  </si>
  <si>
    <t>CLAHE clip limit</t>
  </si>
  <si>
    <t>1.5, 2.0, 3.0</t>
  </si>
  <si>
    <t>1.5</t>
  </si>
  <si>
    <t>Unsharp amount k</t>
  </si>
  <si>
    <t>0.5, 0.8, 1.0</t>
  </si>
  <si>
    <t>0.7</t>
  </si>
  <si>
    <t>Unsharp sigma</t>
  </si>
  <si>
    <t>1, 1.5, 2</t>
  </si>
  <si>
    <t>Cutoff D0 (proportional to image size)</t>
  </si>
  <si>
    <t>Fourier</t>
  </si>
  <si>
    <t>several, e.g. 2%, 5%, 10% of min(H,W)</t>
  </si>
  <si>
    <t>5% of min(H,W)</t>
  </si>
  <si>
    <t>Butterworth order n</t>
  </si>
  <si>
    <t>1, 2</t>
  </si>
  <si>
    <t>Butterworth n=2</t>
  </si>
  <si>
    <t>HFE a / b</t>
  </si>
  <si>
    <t>a 0.5-1.0, b 1.0-2.0</t>
  </si>
  <si>
    <t>a=0.8, b=1.5</t>
  </si>
  <si>
    <t>Homomorphic gamma_L / gamma_H</t>
  </si>
  <si>
    <t>Hybrid 1</t>
  </si>
  <si>
    <t>0.5-0.9 / 1.2-2.0</t>
  </si>
  <si>
    <t>gL 0.6 / gH 1.4 (eps 0.1)</t>
  </si>
  <si>
    <t>gL 0.6 / gH 1.4 (eps 0.3)</t>
  </si>
  <si>
    <t>Blend alpha</t>
  </si>
  <si>
    <t>0.7, 0.8, 0.9</t>
  </si>
  <si>
    <t>Fusion weight w</t>
  </si>
  <si>
    <t>Hybrid 2</t>
  </si>
  <si>
    <t>0.5, 0.6, 0.7</t>
  </si>
  <si>
    <t>Chosen by sweep + visual inspection. Chest also uses Gaussian pre-smoothing (sigma 1.0 spatial, 1.8 hybrid) vs JPEG blocking. Full sweeps: sweeps.csv</t>
  </si>
  <si>
    <t>Runtime Log (ms)</t>
  </si>
  <si>
    <t>Run each method 15 times, exclude loading/plotting/saving. Median is computed by formula.</t>
  </si>
  <si>
    <t>Image</t>
  </si>
  <si>
    <t>Run 1</t>
  </si>
  <si>
    <t>Run 2</t>
  </si>
  <si>
    <t>Run 3</t>
  </si>
  <si>
    <t>Run 4</t>
  </si>
  <si>
    <t>Run 5</t>
  </si>
  <si>
    <t>Run 6</t>
  </si>
  <si>
    <t>Run 7</t>
  </si>
  <si>
    <t>Run 8</t>
  </si>
  <si>
    <t>Run 9</t>
  </si>
  <si>
    <t>Run 10</t>
  </si>
  <si>
    <t>Run 11</t>
  </si>
  <si>
    <t>Run 12</t>
  </si>
  <si>
    <t>Run 13</t>
  </si>
  <si>
    <t>Run 14</t>
  </si>
  <si>
    <t>Run 15</t>
  </si>
  <si>
    <t>Median (ms)</t>
  </si>
  <si>
    <t>Chest</t>
  </si>
  <si>
    <t>Histogram equalization</t>
  </si>
  <si>
    <t>Spatial (final)</t>
  </si>
  <si>
    <t>Gaussian high-pass</t>
  </si>
  <si>
    <t>Fourier HFE (final)</t>
  </si>
  <si>
    <t>Homomorphic</t>
  </si>
  <si>
    <t>Hybrid 1 (sequential)</t>
  </si>
  <si>
    <t>Hybrid 2 (fusion)</t>
  </si>
  <si>
    <t>Skeleton</t>
  </si>
  <si>
    <t>Median of 15 runs after warm-up (main.py). Hybrid 2 = END-TO-END cost incl. producing both inputs; fusion step alone: Chest 0.537 ms, Skeleton 0.490 ms.</t>
  </si>
  <si>
    <t>Metrics Comparison</t>
  </si>
  <si>
    <t>Blue cells = values from compute_metrics(). Runtime pulls from Runtime sheet. % changes are formulas vs the Original row of the same image.</t>
  </si>
  <si>
    <t>Mean</t>
  </si>
  <si>
    <t>Std dev (contrast)</t>
  </si>
  <si>
    <t>Entropy</t>
  </si>
  <si>
    <t>Avg gradient</t>
  </si>
  <si>
    <t>Tenengrad (Sobel)</t>
  </si>
  <si>
    <t>Runtime (ms)</t>
  </si>
  <si>
    <t>Contrast change vs original</t>
  </si>
  <si>
    <t>Entropy change vs original</t>
  </si>
  <si>
    <t>Edge change vs original</t>
  </si>
  <si>
    <t>Visual notes (noise / halo / ringing / saturation)</t>
  </si>
  <si>
    <t>Noise sigma (Immerkaer)</t>
  </si>
  <si>
    <t>Edge density (Canny)</t>
  </si>
  <si>
    <t>Original</t>
  </si>
  <si>
    <t>n/a</t>
  </si>
  <si>
    <t>Fastest; over-brightens, exposes 8x8 JPEG blocking in lungs</t>
  </si>
  <si>
    <t>Natural, clean; ribs/vessels clearer; light pre-blur vs JPEG blocking</t>
  </si>
  <si>
    <t>Signed zero-centred display: edges only, tissue contrast lost; entropy 5.08 (negative baseline)</t>
  </si>
  <si>
    <t>Pure Fourier + min-max scaling: ribs sharper, modest gain only; linear filter cannot lift dark lungs</t>
  </si>
  <si>
    <t>Classical exp output; flatter illumination, lower contrast, noise x3 vs original</t>
  </si>
  <si>
    <t>Best overall: highest entropy and contrast, noise below spatial; faint residual blocking in lungs</t>
  </si>
  <si>
    <t>Smooth and natural; slightly less detail than Hybrid 1</t>
  </si>
  <si>
    <t>Background lifted to grey, hot spots saturate, contouring at body edge</t>
  </si>
  <si>
    <t>Best natural look: organs, spine, pelvis visible, dark background, highest std among final methods</t>
  </si>
  <si>
    <t>Grey edge map, entropy 4.09; not usable</t>
  </si>
  <si>
    <t>Pure Fourier + min-max: sharper spine/pelvis edges but stays dim; no ringing after border removal</t>
  </si>
  <si>
    <t>Classical exp output: dim, heavy-tailed due to hot spots</t>
  </si>
  <si>
    <t>Highest edge metrics but edge density 0.0875 (~20x original): over-enhancement/blockiness; not chosen</t>
  </si>
  <si>
    <t>Clean compromise; lowest noise among enhanced outputs (0.0012)</t>
  </si>
  <si>
    <t>Notes: Entropy, gradient and Tenengrad also rise with noise, so use them to shortlist only. PSNR/SSIM against the original measure degree of modification, not enhancement quality. Intensities assumed normalized to [0,1] for all images.</t>
  </si>
  <si>
    <t>What Each Metric Means</t>
  </si>
  <si>
    <t>Measure</t>
  </si>
  <si>
    <t>What it indicates</t>
  </si>
  <si>
    <t>Important limitation</t>
  </si>
  <si>
    <t>Mean / std dev</t>
  </si>
  <si>
    <t>Brightness and global contrast</t>
  </si>
  <si>
    <t>Higher contrast is not always better</t>
  </si>
  <si>
    <t>RMS contrast</t>
  </si>
  <si>
    <t>Overall intensity variation</t>
  </si>
  <si>
    <t>Can increase due to noise</t>
  </si>
  <si>
    <t>Spread of intensity information</t>
  </si>
  <si>
    <t>Noise also increases entropy</t>
  </si>
  <si>
    <t>Average gradient</t>
  </si>
  <si>
    <t>Local detail and sharpness</t>
  </si>
  <si>
    <t>Can reward noise</t>
  </si>
  <si>
    <t>Tenengrad / Sobel edge strength</t>
  </si>
  <si>
    <t>Edge visibility</t>
  </si>
  <si>
    <t>Over-sharpening scores highly</t>
  </si>
  <si>
    <t>Edge density</t>
  </si>
  <si>
    <t>Number of visible edge pixels</t>
  </si>
  <si>
    <t>Highly threshold-dependent</t>
  </si>
  <si>
    <t>Runtime</t>
  </si>
  <si>
    <t>Computational efficiency</t>
  </si>
  <si>
    <t>Depends on implementation and hardware</t>
  </si>
  <si>
    <t>PSNR / SSIM vs original</t>
  </si>
  <si>
    <t>Degree of modification only</t>
  </si>
  <si>
    <t>Not valid proof of better enhancement (no reference image)</t>
  </si>
  <si>
    <t>Task Checklist (Due Sunday 4 Oct 2026, 50 marks)</t>
  </si>
  <si>
    <t>Late penalty: 10 marks/day. Set Status to Done as you finish; progress is calculated.</t>
  </si>
  <si>
    <t>#</t>
  </si>
  <si>
    <t>Task</t>
  </si>
  <si>
    <t>Owner</t>
  </si>
  <si>
    <t>Target date</t>
  </si>
  <si>
    <t>Status</t>
  </si>
  <si>
    <t>Shared code: load_image, normalization, compute_metrics, timing, plot_results</t>
  </si>
  <si>
    <t>Not started</t>
  </si>
  <si>
    <t>Spatial pipeline (a) + HE baseline</t>
  </si>
  <si>
    <t>Fourier: spectrum, filter masks, high-pass baseline, HFE (b)</t>
  </si>
  <si>
    <t>Homomorphic filter experiment</t>
  </si>
  <si>
    <t>Hybrid 1 sequential + Hybrid 2 fusion (c)</t>
  </si>
  <si>
    <t>Parameter sweeps for both images</t>
  </si>
  <si>
    <t>Export full-resolution results and zoomed crops</t>
  </si>
  <si>
    <t>Fill Metrics and Runtime sheets</t>
  </si>
  <si>
    <t>Write analysis (d): artifacts, trade-offs, why metrics can mislead</t>
  </si>
  <si>
    <t>Assemble Word report with figures, comments, references</t>
  </si>
  <si>
    <t>Comment code; save as separate .py files</t>
  </si>
  <si>
    <t>Upload report + code to LMS</t>
  </si>
  <si>
    <t>Tasks done</t>
  </si>
  <si>
    <t>Progress</t>
  </si>
  <si>
    <t>Status options: Not started / In progress / Done</t>
  </si>
  <si>
    <t>Review Fixes Applied (final run)</t>
  </si>
  <si>
    <t>Issue</t>
  </si>
  <si>
    <t>Fix applied</t>
  </si>
  <si>
    <t>Effect</t>
  </si>
  <si>
    <t>Fourier-only outputs used percentile stretching (a spatial point operation)</t>
  </si>
  <si>
    <t>Fourier-only methods now use min-max visualization scaling only; high-pass uses a signed zero-centred display</t>
  </si>
  <si>
    <t>Fourier-only results are weaker (honest result of linear filtering); percentile stretch kept only inside hybrids</t>
  </si>
  <si>
    <t>Homomorphic default was not the classical form</t>
  </si>
  <si>
    <t>Fourier-only row uses classical exp(IDFT{H*DFT{log(f+eps)}})-eps with min-max scaling; hybrids use a modified log-domain variant, labelled as such</t>
  </si>
  <si>
    <t>Naming and theory now consistent</t>
  </si>
  <si>
    <t>Stage figure omitted Chest pre-smoothing</t>
  </si>
  <si>
    <t>Stage figure now includes pre-smoothing, denoise and unsharp as separate stages, and asserts it equals spatial_enhance()</t>
  </si>
  <si>
    <t>Figure reproduces the actual pipeline</t>
  </si>
  <si>
    <t>Input files contain a 1-4 px white frame</t>
  </si>
  <si>
    <t>load_image() strips saturated edge rows/columns automatically</t>
  </si>
  <si>
    <t>Removed edge-line artifacts and inflated edge metrics on the original; Skeleton Hybrid 1 retuned (it over-enhanced)</t>
  </si>
  <si>
    <t>BMP vs JPG</t>
  </si>
  <si>
    <t>Loader prefers .bmp, then .jpg/.png</t>
  </si>
  <si>
    <t>Re-run on the official BMPs; JPEG blocking may be absent, so pre-smoothing may be unnecessary</t>
  </si>
  <si>
    <t>Hybrid 2 runtime ambiguity</t>
  </si>
  <si>
    <t>Runtime sheet shows end-to-end cost (spatial + Fourier + fusion); fusion-only cost recorded in runtimes_ms.json</t>
  </si>
  <si>
    <t>Both reported; 15 runs per median</t>
  </si>
  <si>
    <t>sweeps.csv params contained commas</t>
  </si>
  <si>
    <t>Separator changed to semicolons (file was valid, now robust)</t>
  </si>
  <si>
    <t>Safe in any parser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</si>
</sst>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"/>
    <numFmt numFmtId="165" formatCode="0.0000"/>
    <numFmt numFmtId="166" formatCode="0.0%"/>
  </numFmts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9"/>
      <name val="Arial"/>
      <charset val="1"/>
    </font>
    <font>
      <sz val="10"/>
      <color rgb="FF008000"/>
      <name val="Arial"/>
      <charset val="1"/>
    </font>
    <font>
      <b/>
      <sz val="1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5" fillId="3" borderId="0" xfId="0" applyFont="1" applyFill="1" applyAlignment="1"/>
    <xf numFmtId="0" fontId="4" fillId="0" borderId="1" xfId="0" applyFont="1" applyBorder="1" applyAlignment="1"/>
    <xf numFmtId="0" fontId="5" fillId="3" borderId="1" xfId="0" applyFont="1" applyFill="1" applyBorder="1" applyAlignment="1"/>
    <xf numFmtId="2" fontId="4" fillId="0" borderId="1" xfId="0" applyNumberFormat="1" applyFont="1" applyBorder="1" applyAlignment="1"/>
    <xf numFmtId="0" fontId="6" fillId="0" borderId="0" xfId="0" applyFont="1" applyAlignment="1"/>
    <xf numFmtId="164" fontId="5" fillId="3" borderId="1" xfId="0" applyNumberFormat="1" applyFont="1" applyFill="1" applyBorder="1" applyAlignment="1"/>
    <xf numFmtId="2" fontId="0" fillId="0" borderId="1" xfId="0" applyNumberFormat="1" applyFont="1" applyBorder="1" applyAlignment="1"/>
    <xf numFmtId="0" fontId="5" fillId="3" borderId="1" xfId="0" applyFont="1" applyFill="1" applyBorder="1" applyAlignment="1">
      <alignment vertical="top" wrapText="1"/>
    </xf>
    <xf numFmtId="165" fontId="5" fillId="0" borderId="1" xfId="0" applyNumberFormat="1" applyFont="1" applyBorder="1" applyAlignment="1"/>
    <xf numFmtId="2" fontId="7" fillId="0" borderId="1" xfId="0" applyNumberFormat="1" applyFont="1" applyBorder="1" applyAlignment="1"/>
    <xf numFmtId="166" fontId="4" fillId="0" borderId="1" xfId="0" applyNumberFormat="1" applyFont="1" applyBorder="1" applyAlignment="1"/>
    <xf numFmtId="0" fontId="8" fillId="0" borderId="0" xfId="0" applyFont="1" applyAlignment="1"/>
    <xf numFmtId="0" fontId="4" fillId="0" borderId="0" xfId="0" applyFont="1" applyAlignment="1"/>
    <xf numFmtId="9" fontId="4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zoomScaleNormal="100" workbookViewId="0">
      <selection activeCell="A5" sqref="A5"/>
    </sheetView>
  </sheetViews>
  <sheetFormatPr defaultColWidth="8.6328125" defaultRowHeight="14.5" x14ac:dyDescent="0.35"/>
  <cols>
    <col min="1" max="1" width="16" style="1" customWidth="1"/>
    <col min="2" max="2" width="22" style="1" customWidth="1"/>
    <col min="3" max="3" width="50" style="1" customWidth="1"/>
    <col min="4" max="4" width="38" style="1" customWidth="1"/>
    <col min="5" max="5" width="44" style="1" customWidth="1"/>
    <col min="6" max="6" width="40" style="1" customWidth="1"/>
  </cols>
  <sheetData>
    <row r="1" spans="1:6" ht="17.25" customHeight="1" x14ac:dyDescent="0.4">
      <c r="A1" s="2" t="s">
        <v>0</v>
      </c>
    </row>
    <row r="2" spans="1:6" ht="15" customHeight="1" x14ac:dyDescent="0.35">
      <c r="A2" s="3" t="s">
        <v>1</v>
      </c>
    </row>
    <row r="4" spans="1:6" ht="15" customHeight="1" x14ac:dyDescent="0.3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spans="1:6" ht="23.25" customHeight="1" x14ac:dyDescent="0.35">
      <c r="A5" s="5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13</v>
      </c>
    </row>
    <row r="6" spans="1:6" ht="15" customHeight="1" x14ac:dyDescent="0.35">
      <c r="A6" s="5" t="s">
        <v>8</v>
      </c>
      <c r="B6" s="5" t="s">
        <v>14</v>
      </c>
      <c r="C6" s="5" t="s">
        <v>15</v>
      </c>
      <c r="D6" s="5" t="s">
        <v>16</v>
      </c>
      <c r="E6" s="5" t="s">
        <v>17</v>
      </c>
      <c r="F6" s="5" t="s">
        <v>18</v>
      </c>
    </row>
    <row r="7" spans="1:6" ht="23.25" customHeight="1" x14ac:dyDescent="0.35">
      <c r="A7" s="5" t="s">
        <v>19</v>
      </c>
      <c r="B7" s="5" t="s">
        <v>20</v>
      </c>
      <c r="C7" s="5" t="s">
        <v>21</v>
      </c>
      <c r="D7" s="5" t="s">
        <v>22</v>
      </c>
      <c r="E7" s="5" t="s">
        <v>23</v>
      </c>
      <c r="F7" s="5" t="s">
        <v>24</v>
      </c>
    </row>
    <row r="8" spans="1:6" ht="23.25" customHeight="1" x14ac:dyDescent="0.35">
      <c r="A8" s="5" t="s">
        <v>19</v>
      </c>
      <c r="B8" s="5" t="s">
        <v>25</v>
      </c>
      <c r="C8" s="5" t="s">
        <v>26</v>
      </c>
      <c r="D8" s="5" t="s">
        <v>27</v>
      </c>
      <c r="E8" s="5" t="s">
        <v>28</v>
      </c>
      <c r="F8" s="5" t="s">
        <v>29</v>
      </c>
    </row>
    <row r="9" spans="1:6" ht="23.25" customHeight="1" x14ac:dyDescent="0.35">
      <c r="A9" s="5" t="s">
        <v>19</v>
      </c>
      <c r="B9" s="5" t="s">
        <v>30</v>
      </c>
      <c r="C9" s="5" t="s">
        <v>31</v>
      </c>
      <c r="D9" s="5" t="s">
        <v>32</v>
      </c>
      <c r="E9" s="5" t="s">
        <v>33</v>
      </c>
      <c r="F9" s="5" t="s">
        <v>34</v>
      </c>
    </row>
    <row r="10" spans="1:6" ht="23.25" customHeight="1" x14ac:dyDescent="0.35">
      <c r="A10" s="5" t="s">
        <v>35</v>
      </c>
      <c r="B10" s="5" t="s">
        <v>36</v>
      </c>
      <c r="C10" s="5" t="s">
        <v>37</v>
      </c>
      <c r="D10" s="5" t="s">
        <v>38</v>
      </c>
      <c r="E10" s="5" t="s">
        <v>39</v>
      </c>
      <c r="F10" s="5" t="s">
        <v>40</v>
      </c>
    </row>
    <row r="11" spans="1:6" ht="23.25" customHeight="1" x14ac:dyDescent="0.35">
      <c r="A11" s="5" t="s">
        <v>41</v>
      </c>
      <c r="B11" s="5" t="s">
        <v>42</v>
      </c>
      <c r="C11" s="5" t="s">
        <v>43</v>
      </c>
      <c r="D11" s="5" t="s">
        <v>44</v>
      </c>
      <c r="E11" s="5" t="s">
        <v>45</v>
      </c>
      <c r="F11" s="5" t="s">
        <v>46</v>
      </c>
    </row>
    <row r="12" spans="1:6" ht="23.25" customHeight="1" x14ac:dyDescent="0.35">
      <c r="A12" s="5" t="s">
        <v>47</v>
      </c>
      <c r="B12" s="5" t="s">
        <v>48</v>
      </c>
      <c r="C12" s="5" t="s">
        <v>49</v>
      </c>
      <c r="D12" s="5" t="s">
        <v>50</v>
      </c>
      <c r="E12" s="5" t="s">
        <v>51</v>
      </c>
      <c r="F12" s="5" t="s">
        <v>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zoomScaleNormal="100" workbookViewId="0"/>
  </sheetViews>
  <sheetFormatPr defaultColWidth="8.6328125" defaultRowHeight="14.5" x14ac:dyDescent="0.35"/>
  <cols>
    <col min="1" max="1" width="38" style="1" customWidth="1"/>
    <col min="2" max="2" width="12" style="1" customWidth="1"/>
    <col min="3" max="3" width="40" style="1" customWidth="1"/>
    <col min="4" max="5" width="16" style="1" customWidth="1"/>
    <col min="6" max="6" width="40" style="1" customWidth="1"/>
  </cols>
  <sheetData>
    <row r="1" spans="1:6" ht="17.25" customHeight="1" x14ac:dyDescent="0.4">
      <c r="A1" s="2" t="s">
        <v>53</v>
      </c>
    </row>
    <row r="2" spans="1:6" ht="15" customHeight="1" x14ac:dyDescent="0.35">
      <c r="A2" s="3" t="s">
        <v>54</v>
      </c>
    </row>
    <row r="4" spans="1:6" ht="15" customHeight="1" x14ac:dyDescent="0.35">
      <c r="A4" s="4" t="s">
        <v>55</v>
      </c>
      <c r="B4" s="4" t="s">
        <v>3</v>
      </c>
      <c r="C4" s="4" t="s">
        <v>56</v>
      </c>
      <c r="D4" s="4" t="s">
        <v>57</v>
      </c>
      <c r="E4" s="4" t="s">
        <v>58</v>
      </c>
      <c r="F4" s="4" t="s">
        <v>59</v>
      </c>
    </row>
    <row r="5" spans="1:6" ht="15" customHeight="1" x14ac:dyDescent="0.35">
      <c r="A5" s="5" t="s">
        <v>60</v>
      </c>
      <c r="B5" s="5" t="s">
        <v>61</v>
      </c>
      <c r="C5" s="5" t="s">
        <v>62</v>
      </c>
      <c r="D5" s="6" t="s">
        <v>63</v>
      </c>
      <c r="E5" s="6" t="s">
        <v>64</v>
      </c>
      <c r="F5" s="6"/>
    </row>
    <row r="6" spans="1:6" ht="15" customHeight="1" x14ac:dyDescent="0.35">
      <c r="A6" s="5" t="s">
        <v>65</v>
      </c>
      <c r="B6" s="5" t="s">
        <v>61</v>
      </c>
      <c r="C6" s="5" t="s">
        <v>66</v>
      </c>
      <c r="D6" s="6" t="s">
        <v>67</v>
      </c>
      <c r="E6" s="6" t="s">
        <v>67</v>
      </c>
      <c r="F6" s="6"/>
    </row>
    <row r="7" spans="1:6" ht="15" customHeight="1" x14ac:dyDescent="0.35">
      <c r="A7" s="5" t="s">
        <v>68</v>
      </c>
      <c r="B7" s="5" t="s">
        <v>61</v>
      </c>
      <c r="C7" s="5" t="s">
        <v>69</v>
      </c>
      <c r="D7" s="6" t="s">
        <v>70</v>
      </c>
      <c r="E7" s="6" t="s">
        <v>70</v>
      </c>
      <c r="F7" s="6"/>
    </row>
    <row r="8" spans="1:6" ht="15" customHeight="1" x14ac:dyDescent="0.35">
      <c r="A8" s="5" t="s">
        <v>71</v>
      </c>
      <c r="B8" s="5" t="s">
        <v>61</v>
      </c>
      <c r="C8" s="5" t="s">
        <v>72</v>
      </c>
      <c r="D8" s="6" t="s">
        <v>67</v>
      </c>
      <c r="E8" s="6" t="s">
        <v>67</v>
      </c>
      <c r="F8" s="6"/>
    </row>
    <row r="9" spans="1:6" ht="15" customHeight="1" x14ac:dyDescent="0.35">
      <c r="A9" s="5" t="s">
        <v>73</v>
      </c>
      <c r="B9" s="5" t="s">
        <v>74</v>
      </c>
      <c r="C9" s="5" t="s">
        <v>75</v>
      </c>
      <c r="D9" s="6" t="s">
        <v>76</v>
      </c>
      <c r="E9" s="6" t="s">
        <v>76</v>
      </c>
      <c r="F9" s="6"/>
    </row>
    <row r="10" spans="1:6" ht="15" customHeight="1" x14ac:dyDescent="0.35">
      <c r="A10" s="5" t="s">
        <v>77</v>
      </c>
      <c r="B10" s="5" t="s">
        <v>74</v>
      </c>
      <c r="C10" s="5" t="s">
        <v>78</v>
      </c>
      <c r="D10" s="6" t="s">
        <v>79</v>
      </c>
      <c r="E10" s="6" t="s">
        <v>79</v>
      </c>
      <c r="F10" s="6"/>
    </row>
    <row r="11" spans="1:6" ht="15" customHeight="1" x14ac:dyDescent="0.35">
      <c r="A11" s="5" t="s">
        <v>80</v>
      </c>
      <c r="B11" s="5" t="s">
        <v>74</v>
      </c>
      <c r="C11" s="5" t="s">
        <v>81</v>
      </c>
      <c r="D11" s="6" t="s">
        <v>82</v>
      </c>
      <c r="E11" s="6" t="s">
        <v>82</v>
      </c>
      <c r="F11" s="6"/>
    </row>
    <row r="12" spans="1:6" ht="15" customHeight="1" x14ac:dyDescent="0.35">
      <c r="A12" s="5" t="s">
        <v>83</v>
      </c>
      <c r="B12" s="5" t="s">
        <v>84</v>
      </c>
      <c r="C12" s="5" t="s">
        <v>85</v>
      </c>
      <c r="D12" s="6" t="s">
        <v>86</v>
      </c>
      <c r="E12" s="6" t="s">
        <v>87</v>
      </c>
      <c r="F12" s="6"/>
    </row>
    <row r="13" spans="1:6" ht="15" customHeight="1" x14ac:dyDescent="0.35">
      <c r="A13" s="5" t="s">
        <v>88</v>
      </c>
      <c r="B13" s="5" t="s">
        <v>84</v>
      </c>
      <c r="C13" s="5" t="s">
        <v>89</v>
      </c>
      <c r="D13" s="6" t="s">
        <v>63</v>
      </c>
      <c r="E13" s="6" t="s">
        <v>63</v>
      </c>
      <c r="F13" s="6"/>
    </row>
    <row r="14" spans="1:6" ht="15" customHeight="1" x14ac:dyDescent="0.35">
      <c r="A14" s="5" t="s">
        <v>90</v>
      </c>
      <c r="B14" s="5" t="s">
        <v>91</v>
      </c>
      <c r="C14" s="5" t="s">
        <v>92</v>
      </c>
      <c r="D14" s="6" t="s">
        <v>64</v>
      </c>
      <c r="E14" s="6" t="s">
        <v>64</v>
      </c>
      <c r="F14" s="6"/>
    </row>
    <row r="15" spans="1:6" ht="15" customHeight="1" x14ac:dyDescent="0.35">
      <c r="F15" s="1" t="s">
        <v>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0"/>
  <sheetViews>
    <sheetView zoomScaleNormal="100" workbookViewId="0"/>
  </sheetViews>
  <sheetFormatPr defaultColWidth="8.6328125" defaultRowHeight="14.5" x14ac:dyDescent="0.35"/>
  <cols>
    <col min="1" max="1" width="12" style="1" customWidth="1"/>
    <col min="2" max="2" width="28" style="1" customWidth="1"/>
    <col min="3" max="17" width="8" style="1" customWidth="1"/>
    <col min="18" max="18" width="14" style="1" customWidth="1"/>
  </cols>
  <sheetData>
    <row r="1" spans="1:18" ht="17.25" customHeight="1" x14ac:dyDescent="0.4">
      <c r="A1" s="2" t="s">
        <v>94</v>
      </c>
    </row>
    <row r="2" spans="1:18" ht="15" customHeight="1" x14ac:dyDescent="0.35">
      <c r="A2" s="3" t="s">
        <v>95</v>
      </c>
    </row>
    <row r="4" spans="1:18" ht="15" customHeight="1" x14ac:dyDescent="0.35">
      <c r="A4" s="4" t="s">
        <v>96</v>
      </c>
      <c r="B4" s="4" t="s">
        <v>3</v>
      </c>
      <c r="C4" s="4" t="s">
        <v>97</v>
      </c>
      <c r="D4" s="4" t="s">
        <v>98</v>
      </c>
      <c r="E4" s="4" t="s">
        <v>99</v>
      </c>
      <c r="F4" s="4" t="s">
        <v>100</v>
      </c>
      <c r="G4" s="4" t="s">
        <v>101</v>
      </c>
      <c r="H4" s="4" t="s">
        <v>102</v>
      </c>
      <c r="I4" s="4" t="s">
        <v>103</v>
      </c>
      <c r="J4" s="4" t="s">
        <v>104</v>
      </c>
      <c r="K4" s="4" t="s">
        <v>105</v>
      </c>
      <c r="L4" s="4" t="s">
        <v>106</v>
      </c>
      <c r="M4" s="4" t="s">
        <v>107</v>
      </c>
      <c r="N4" s="4" t="s">
        <v>108</v>
      </c>
      <c r="O4" s="4" t="s">
        <v>109</v>
      </c>
      <c r="P4" s="4" t="s">
        <v>110</v>
      </c>
      <c r="Q4" s="4" t="s">
        <v>111</v>
      </c>
      <c r="R4" s="4" t="s">
        <v>112</v>
      </c>
    </row>
    <row r="5" spans="1:18" ht="15" customHeight="1" x14ac:dyDescent="0.35">
      <c r="A5" s="7" t="s">
        <v>113</v>
      </c>
      <c r="B5" s="7" t="s">
        <v>114</v>
      </c>
      <c r="C5" s="8">
        <v>1.81</v>
      </c>
      <c r="D5" s="8">
        <v>2.91</v>
      </c>
      <c r="E5" s="8">
        <v>1.73</v>
      </c>
      <c r="F5" s="8">
        <v>0.79</v>
      </c>
      <c r="G5" s="8">
        <v>0.89</v>
      </c>
      <c r="H5" s="8">
        <v>1.29</v>
      </c>
      <c r="I5" s="8">
        <v>1.02</v>
      </c>
      <c r="J5" s="8">
        <v>0.87</v>
      </c>
      <c r="K5" s="8">
        <v>0.86</v>
      </c>
      <c r="L5" s="8">
        <v>0.87</v>
      </c>
      <c r="M5" s="8">
        <v>1.32</v>
      </c>
      <c r="N5" s="8">
        <v>2.41</v>
      </c>
      <c r="O5" s="8">
        <v>2.13</v>
      </c>
      <c r="P5" s="8">
        <v>1.01</v>
      </c>
      <c r="Q5" s="8">
        <v>1.89</v>
      </c>
      <c r="R5" s="9">
        <f t="shared" ref="R5:R18" si="0">IF(COUNT(C5:Q5)=0,"",MEDIAN(C5:Q5))</f>
        <v>1.29</v>
      </c>
    </row>
    <row r="6" spans="1:18" ht="15" customHeight="1" x14ac:dyDescent="0.35">
      <c r="A6" s="7" t="s">
        <v>113</v>
      </c>
      <c r="B6" s="7" t="s">
        <v>115</v>
      </c>
      <c r="C6" s="8">
        <v>15.24</v>
      </c>
      <c r="D6" s="8">
        <v>15.02</v>
      </c>
      <c r="E6" s="8">
        <v>13.88</v>
      </c>
      <c r="F6" s="8">
        <v>13.9</v>
      </c>
      <c r="G6" s="8">
        <v>13.69</v>
      </c>
      <c r="H6" s="8">
        <v>13.6</v>
      </c>
      <c r="I6" s="8">
        <v>14.13</v>
      </c>
      <c r="J6" s="8">
        <v>17.690000000000001</v>
      </c>
      <c r="K6" s="8">
        <v>13.21</v>
      </c>
      <c r="L6" s="8">
        <v>13.81</v>
      </c>
      <c r="M6" s="8">
        <v>17.52</v>
      </c>
      <c r="N6" s="8">
        <v>13.54</v>
      </c>
      <c r="O6" s="8">
        <v>13.85</v>
      </c>
      <c r="P6" s="8">
        <v>17.73</v>
      </c>
      <c r="Q6" s="8">
        <v>13.44</v>
      </c>
      <c r="R6" s="9">
        <f t="shared" si="0"/>
        <v>13.88</v>
      </c>
    </row>
    <row r="7" spans="1:18" ht="15" customHeight="1" x14ac:dyDescent="0.35">
      <c r="A7" s="7" t="s">
        <v>113</v>
      </c>
      <c r="B7" s="7" t="s">
        <v>116</v>
      </c>
      <c r="C7" s="8">
        <v>76.180000000000007</v>
      </c>
      <c r="D7" s="8">
        <v>73.64</v>
      </c>
      <c r="E7" s="8">
        <v>70.7</v>
      </c>
      <c r="F7" s="8">
        <v>65.67</v>
      </c>
      <c r="G7" s="8">
        <v>57.42</v>
      </c>
      <c r="H7" s="8">
        <v>56.58</v>
      </c>
      <c r="I7" s="8">
        <v>62.52</v>
      </c>
      <c r="J7" s="8">
        <v>60.85</v>
      </c>
      <c r="K7" s="8">
        <v>70.3</v>
      </c>
      <c r="L7" s="8">
        <v>53.97</v>
      </c>
      <c r="M7" s="8">
        <v>55</v>
      </c>
      <c r="N7" s="8">
        <v>60.39</v>
      </c>
      <c r="O7" s="8">
        <v>60.93</v>
      </c>
      <c r="P7" s="8">
        <v>75.67</v>
      </c>
      <c r="Q7" s="8">
        <v>79.33</v>
      </c>
      <c r="R7" s="9">
        <f t="shared" si="0"/>
        <v>62.52</v>
      </c>
    </row>
    <row r="8" spans="1:18" ht="15" customHeight="1" x14ac:dyDescent="0.35">
      <c r="A8" s="7" t="s">
        <v>113</v>
      </c>
      <c r="B8" s="7" t="s">
        <v>117</v>
      </c>
      <c r="C8" s="8">
        <v>82.83</v>
      </c>
      <c r="D8" s="8">
        <v>55.16</v>
      </c>
      <c r="E8" s="8">
        <v>54.25</v>
      </c>
      <c r="F8" s="8">
        <v>55.56</v>
      </c>
      <c r="G8" s="8">
        <v>64.47</v>
      </c>
      <c r="H8" s="8">
        <v>58.93</v>
      </c>
      <c r="I8" s="8">
        <v>65.209999999999994</v>
      </c>
      <c r="J8" s="8">
        <v>54.25</v>
      </c>
      <c r="K8" s="8">
        <v>68.84</v>
      </c>
      <c r="L8" s="8">
        <v>71.069999999999993</v>
      </c>
      <c r="M8" s="8">
        <v>54.37</v>
      </c>
      <c r="N8" s="8">
        <v>54.22</v>
      </c>
      <c r="O8" s="8">
        <v>56.96</v>
      </c>
      <c r="P8" s="8">
        <v>56.41</v>
      </c>
      <c r="Q8" s="8">
        <v>59.08</v>
      </c>
      <c r="R8" s="9">
        <f t="shared" si="0"/>
        <v>56.96</v>
      </c>
    </row>
    <row r="9" spans="1:18" ht="15" customHeight="1" x14ac:dyDescent="0.35">
      <c r="A9" s="7" t="s">
        <v>113</v>
      </c>
      <c r="B9" s="7" t="s">
        <v>118</v>
      </c>
      <c r="C9" s="8">
        <v>68.55</v>
      </c>
      <c r="D9" s="8">
        <v>58.59</v>
      </c>
      <c r="E9" s="8">
        <v>69.430000000000007</v>
      </c>
      <c r="F9" s="8">
        <v>63.02</v>
      </c>
      <c r="G9" s="8">
        <v>68.67</v>
      </c>
      <c r="H9" s="8">
        <v>58.25</v>
      </c>
      <c r="I9" s="8">
        <v>57.12</v>
      </c>
      <c r="J9" s="8">
        <v>56.99</v>
      </c>
      <c r="K9" s="8">
        <v>60.06</v>
      </c>
      <c r="L9" s="8">
        <v>56</v>
      </c>
      <c r="M9" s="8">
        <v>52.66</v>
      </c>
      <c r="N9" s="8">
        <v>54.7</v>
      </c>
      <c r="O9" s="8">
        <v>57.42</v>
      </c>
      <c r="P9" s="8">
        <v>59.99</v>
      </c>
      <c r="Q9" s="8">
        <v>75.81</v>
      </c>
      <c r="R9" s="9">
        <f t="shared" si="0"/>
        <v>58.59</v>
      </c>
    </row>
    <row r="10" spans="1:18" ht="15" customHeight="1" x14ac:dyDescent="0.35">
      <c r="A10" s="7" t="s">
        <v>113</v>
      </c>
      <c r="B10" s="7" t="s">
        <v>119</v>
      </c>
      <c r="C10" s="8">
        <v>70.06</v>
      </c>
      <c r="D10" s="8">
        <v>74.44</v>
      </c>
      <c r="E10" s="8">
        <v>80</v>
      </c>
      <c r="F10" s="8">
        <v>91.94</v>
      </c>
      <c r="G10" s="8">
        <v>74.180000000000007</v>
      </c>
      <c r="H10" s="8">
        <v>73.77</v>
      </c>
      <c r="I10" s="8">
        <v>74.22</v>
      </c>
      <c r="J10" s="8">
        <v>74.25</v>
      </c>
      <c r="K10" s="8">
        <v>74.989999999999995</v>
      </c>
      <c r="L10" s="8">
        <v>79.06</v>
      </c>
      <c r="M10" s="8">
        <v>77.58</v>
      </c>
      <c r="N10" s="8">
        <v>74.87</v>
      </c>
      <c r="O10" s="8">
        <v>76.61</v>
      </c>
      <c r="P10" s="8">
        <v>74.63</v>
      </c>
      <c r="Q10" s="8">
        <v>73.88</v>
      </c>
      <c r="R10" s="9">
        <f t="shared" si="0"/>
        <v>74.63</v>
      </c>
    </row>
    <row r="11" spans="1:18" ht="15" customHeight="1" x14ac:dyDescent="0.35">
      <c r="A11" s="7" t="s">
        <v>113</v>
      </c>
      <c r="B11" s="7" t="s">
        <v>120</v>
      </c>
      <c r="C11" s="8">
        <v>98.66</v>
      </c>
      <c r="D11" s="8">
        <v>70.84</v>
      </c>
      <c r="E11" s="8">
        <v>68.650000000000006</v>
      </c>
      <c r="F11" s="8">
        <v>69.98</v>
      </c>
      <c r="G11" s="8">
        <v>78.73</v>
      </c>
      <c r="H11" s="8">
        <v>73.09</v>
      </c>
      <c r="I11" s="8">
        <v>79.84</v>
      </c>
      <c r="J11" s="8">
        <v>72.47</v>
      </c>
      <c r="K11" s="8">
        <v>82.55</v>
      </c>
      <c r="L11" s="8">
        <v>85.41</v>
      </c>
      <c r="M11" s="8">
        <v>72.38</v>
      </c>
      <c r="N11" s="8">
        <v>68.33</v>
      </c>
      <c r="O11" s="8">
        <v>71.33</v>
      </c>
      <c r="P11" s="8">
        <v>74.680000000000007</v>
      </c>
      <c r="Q11" s="8">
        <v>73.010000000000005</v>
      </c>
      <c r="R11" s="9">
        <f t="shared" si="0"/>
        <v>73.010000000000005</v>
      </c>
    </row>
    <row r="12" spans="1:18" ht="15" customHeight="1" x14ac:dyDescent="0.35">
      <c r="A12" s="7" t="s">
        <v>121</v>
      </c>
      <c r="B12" s="7" t="s">
        <v>114</v>
      </c>
      <c r="C12" s="8">
        <v>0.88</v>
      </c>
      <c r="D12" s="8">
        <v>1.37</v>
      </c>
      <c r="E12" s="8">
        <v>1.02</v>
      </c>
      <c r="F12" s="8">
        <v>0.99</v>
      </c>
      <c r="G12" s="8">
        <v>0.88</v>
      </c>
      <c r="H12" s="8">
        <v>0.88</v>
      </c>
      <c r="I12" s="8">
        <v>0.9</v>
      </c>
      <c r="J12" s="8">
        <v>0.99</v>
      </c>
      <c r="K12" s="8">
        <v>0.93</v>
      </c>
      <c r="L12" s="8">
        <v>0.9</v>
      </c>
      <c r="M12" s="8">
        <v>0.87</v>
      </c>
      <c r="N12" s="8">
        <v>0.96</v>
      </c>
      <c r="O12" s="8">
        <v>0.91</v>
      </c>
      <c r="P12" s="8">
        <v>0.93</v>
      </c>
      <c r="Q12" s="8">
        <v>0.91</v>
      </c>
      <c r="R12" s="9">
        <f t="shared" si="0"/>
        <v>0.91</v>
      </c>
    </row>
    <row r="13" spans="1:18" ht="15" customHeight="1" x14ac:dyDescent="0.35">
      <c r="A13" s="7" t="s">
        <v>121</v>
      </c>
      <c r="B13" s="7" t="s">
        <v>115</v>
      </c>
      <c r="C13" s="8">
        <v>8.7899999999999991</v>
      </c>
      <c r="D13" s="8">
        <v>9.2200000000000006</v>
      </c>
      <c r="E13" s="8">
        <v>10.61</v>
      </c>
      <c r="F13" s="8">
        <v>8.57</v>
      </c>
      <c r="G13" s="8">
        <v>10.15</v>
      </c>
      <c r="H13" s="8">
        <v>8.75</v>
      </c>
      <c r="I13" s="8">
        <v>8.75</v>
      </c>
      <c r="J13" s="8">
        <v>8.2899999999999991</v>
      </c>
      <c r="K13" s="8">
        <v>8.3699999999999992</v>
      </c>
      <c r="L13" s="8">
        <v>8.1</v>
      </c>
      <c r="M13" s="8">
        <v>9.4</v>
      </c>
      <c r="N13" s="8">
        <v>8.1</v>
      </c>
      <c r="O13" s="8">
        <v>8.08</v>
      </c>
      <c r="P13" s="8">
        <v>8.08</v>
      </c>
      <c r="Q13" s="8">
        <v>7.97</v>
      </c>
      <c r="R13" s="9">
        <f t="shared" si="0"/>
        <v>8.57</v>
      </c>
    </row>
    <row r="14" spans="1:18" ht="15" customHeight="1" x14ac:dyDescent="0.35">
      <c r="A14" s="7" t="s">
        <v>121</v>
      </c>
      <c r="B14" s="7" t="s">
        <v>116</v>
      </c>
      <c r="C14" s="8">
        <v>34.69</v>
      </c>
      <c r="D14" s="8">
        <v>28.6</v>
      </c>
      <c r="E14" s="8">
        <v>27.03</v>
      </c>
      <c r="F14" s="8">
        <v>27.5</v>
      </c>
      <c r="G14" s="8">
        <v>32.130000000000003</v>
      </c>
      <c r="H14" s="8">
        <v>32.31</v>
      </c>
      <c r="I14" s="8">
        <v>26.85</v>
      </c>
      <c r="J14" s="8">
        <v>33.15</v>
      </c>
      <c r="K14" s="8">
        <v>33.71</v>
      </c>
      <c r="L14" s="8">
        <v>26.44</v>
      </c>
      <c r="M14" s="8">
        <v>31.17</v>
      </c>
      <c r="N14" s="8">
        <v>32.79</v>
      </c>
      <c r="O14" s="8">
        <v>34.090000000000003</v>
      </c>
      <c r="P14" s="8">
        <v>41.39</v>
      </c>
      <c r="Q14" s="8">
        <v>39.76</v>
      </c>
      <c r="R14" s="9">
        <f t="shared" si="0"/>
        <v>32.31</v>
      </c>
    </row>
    <row r="15" spans="1:18" ht="15" customHeight="1" x14ac:dyDescent="0.35">
      <c r="A15" s="7" t="s">
        <v>121</v>
      </c>
      <c r="B15" s="7" t="s">
        <v>117</v>
      </c>
      <c r="C15" s="8">
        <v>25.13</v>
      </c>
      <c r="D15" s="8">
        <v>28.17</v>
      </c>
      <c r="E15" s="8">
        <v>28.4</v>
      </c>
      <c r="F15" s="8">
        <v>26.83</v>
      </c>
      <c r="G15" s="8">
        <v>25.7</v>
      </c>
      <c r="H15" s="8">
        <v>27.75</v>
      </c>
      <c r="I15" s="8">
        <v>27.46</v>
      </c>
      <c r="J15" s="8">
        <v>26.45</v>
      </c>
      <c r="K15" s="8">
        <v>26.98</v>
      </c>
      <c r="L15" s="8">
        <v>25.85</v>
      </c>
      <c r="M15" s="8">
        <v>25.92</v>
      </c>
      <c r="N15" s="8">
        <v>25.85</v>
      </c>
      <c r="O15" s="8">
        <v>26.83</v>
      </c>
      <c r="P15" s="8">
        <v>26.19</v>
      </c>
      <c r="Q15" s="8">
        <v>26.69</v>
      </c>
      <c r="R15" s="9">
        <f t="shared" si="0"/>
        <v>26.69</v>
      </c>
    </row>
    <row r="16" spans="1:18" ht="15" customHeight="1" x14ac:dyDescent="0.35">
      <c r="A16" s="7" t="s">
        <v>121</v>
      </c>
      <c r="B16" s="7" t="s">
        <v>118</v>
      </c>
      <c r="C16" s="8">
        <v>35</v>
      </c>
      <c r="D16" s="8">
        <v>38.36</v>
      </c>
      <c r="E16" s="8">
        <v>38.270000000000003</v>
      </c>
      <c r="F16" s="8">
        <v>39.22</v>
      </c>
      <c r="G16" s="8">
        <v>34.57</v>
      </c>
      <c r="H16" s="8">
        <v>40.19</v>
      </c>
      <c r="I16" s="8">
        <v>48.47</v>
      </c>
      <c r="J16" s="8">
        <v>37.96</v>
      </c>
      <c r="K16" s="8">
        <v>37.93</v>
      </c>
      <c r="L16" s="8">
        <v>39.159999999999997</v>
      </c>
      <c r="M16" s="8">
        <v>38.17</v>
      </c>
      <c r="N16" s="8">
        <v>41.03</v>
      </c>
      <c r="O16" s="8">
        <v>37.07</v>
      </c>
      <c r="P16" s="8">
        <v>44.26</v>
      </c>
      <c r="Q16" s="8">
        <v>39.119999999999997</v>
      </c>
      <c r="R16" s="9">
        <f t="shared" si="0"/>
        <v>38.36</v>
      </c>
    </row>
    <row r="17" spans="1:18" ht="15" customHeight="1" x14ac:dyDescent="0.35">
      <c r="A17" s="7" t="s">
        <v>121</v>
      </c>
      <c r="B17" s="7" t="s">
        <v>119</v>
      </c>
      <c r="C17" s="8">
        <v>58.25</v>
      </c>
      <c r="D17" s="8">
        <v>71.14</v>
      </c>
      <c r="E17" s="8">
        <v>62.39</v>
      </c>
      <c r="F17" s="8">
        <v>67.97</v>
      </c>
      <c r="G17" s="8">
        <v>75.25</v>
      </c>
      <c r="H17" s="8">
        <v>66.56</v>
      </c>
      <c r="I17" s="8">
        <v>50.39</v>
      </c>
      <c r="J17" s="8">
        <v>49.05</v>
      </c>
      <c r="K17" s="8">
        <v>49.6</v>
      </c>
      <c r="L17" s="8">
        <v>49.37</v>
      </c>
      <c r="M17" s="8">
        <v>50.01</v>
      </c>
      <c r="N17" s="8">
        <v>47.46</v>
      </c>
      <c r="O17" s="8">
        <v>63.82</v>
      </c>
      <c r="P17" s="8">
        <v>57.54</v>
      </c>
      <c r="Q17" s="8">
        <v>59.59</v>
      </c>
      <c r="R17" s="9">
        <f t="shared" si="0"/>
        <v>58.25</v>
      </c>
    </row>
    <row r="18" spans="1:18" ht="15" customHeight="1" x14ac:dyDescent="0.35">
      <c r="A18" s="7" t="s">
        <v>121</v>
      </c>
      <c r="B18" s="7" t="s">
        <v>120</v>
      </c>
      <c r="C18" s="8">
        <v>34.42</v>
      </c>
      <c r="D18" s="8">
        <v>38.01</v>
      </c>
      <c r="E18" s="8">
        <v>39.5</v>
      </c>
      <c r="F18" s="8">
        <v>35.92</v>
      </c>
      <c r="G18" s="8">
        <v>36.35</v>
      </c>
      <c r="H18" s="8">
        <v>36.979999999999997</v>
      </c>
      <c r="I18" s="8">
        <v>36.659999999999997</v>
      </c>
      <c r="J18" s="8">
        <v>35.26</v>
      </c>
      <c r="K18" s="8">
        <v>35.869999999999997</v>
      </c>
      <c r="L18" s="8">
        <v>34.43</v>
      </c>
      <c r="M18" s="8">
        <v>35.78</v>
      </c>
      <c r="N18" s="8">
        <v>34.49</v>
      </c>
      <c r="O18" s="8">
        <v>35.47</v>
      </c>
      <c r="P18" s="8">
        <v>34.76</v>
      </c>
      <c r="Q18" s="8">
        <v>35.11</v>
      </c>
      <c r="R18" s="9">
        <f t="shared" si="0"/>
        <v>35.78</v>
      </c>
    </row>
    <row r="20" spans="1:18" ht="15" customHeight="1" x14ac:dyDescent="0.35">
      <c r="A20" s="10" t="s">
        <v>122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328125" defaultRowHeight="14.5" x14ac:dyDescent="0.35"/>
  <cols>
    <col min="1" max="1" width="11" style="1" customWidth="1"/>
    <col min="2" max="2" width="26" style="1" customWidth="1"/>
    <col min="3" max="3" width="10" style="1" customWidth="1"/>
    <col min="4" max="4" width="14" style="1" customWidth="1"/>
    <col min="5" max="5" width="10" style="1" customWidth="1"/>
    <col min="6" max="6" width="12" style="1" customWidth="1"/>
    <col min="7" max="7" width="16" style="1" customWidth="1"/>
    <col min="8" max="8" width="13" style="1" customWidth="1"/>
    <col min="9" max="11" width="16" style="1" customWidth="1"/>
    <col min="12" max="12" width="62" style="1" customWidth="1"/>
    <col min="13" max="14" width="14" style="1" customWidth="1"/>
  </cols>
  <sheetData>
    <row r="1" spans="1:14" ht="17.25" customHeight="1" x14ac:dyDescent="0.4">
      <c r="A1" s="2" t="s">
        <v>123</v>
      </c>
    </row>
    <row r="2" spans="1:14" ht="15" customHeight="1" x14ac:dyDescent="0.35">
      <c r="A2" s="3" t="s">
        <v>124</v>
      </c>
    </row>
    <row r="4" spans="1:14" ht="23.25" customHeight="1" x14ac:dyDescent="0.35">
      <c r="A4" s="4" t="s">
        <v>96</v>
      </c>
      <c r="B4" s="4" t="s">
        <v>3</v>
      </c>
      <c r="C4" s="4" t="s">
        <v>125</v>
      </c>
      <c r="D4" s="4" t="s">
        <v>126</v>
      </c>
      <c r="E4" s="4" t="s">
        <v>127</v>
      </c>
      <c r="F4" s="4" t="s">
        <v>128</v>
      </c>
      <c r="G4" s="4" t="s">
        <v>129</v>
      </c>
      <c r="H4" s="4" t="s">
        <v>130</v>
      </c>
      <c r="I4" s="4" t="s">
        <v>131</v>
      </c>
      <c r="J4" s="4" t="s">
        <v>132</v>
      </c>
      <c r="K4" s="4" t="s">
        <v>133</v>
      </c>
      <c r="L4" s="4" t="s">
        <v>134</v>
      </c>
      <c r="M4" s="4" t="s">
        <v>135</v>
      </c>
      <c r="N4" s="4" t="s">
        <v>136</v>
      </c>
    </row>
    <row r="5" spans="1:14" ht="15" customHeight="1" x14ac:dyDescent="0.35">
      <c r="A5" s="7" t="s">
        <v>113</v>
      </c>
      <c r="B5" s="7" t="s">
        <v>137</v>
      </c>
      <c r="C5" s="11">
        <v>0.2329</v>
      </c>
      <c r="D5" s="11">
        <v>0.21970000000000001</v>
      </c>
      <c r="E5" s="11">
        <v>6.8170000000000002</v>
      </c>
      <c r="F5" s="11">
        <v>4.1999999999999997E-3</v>
      </c>
      <c r="G5" s="11">
        <v>4.6300000000000001E-2</v>
      </c>
      <c r="H5" s="12" t="s">
        <v>138</v>
      </c>
      <c r="I5" s="7" t="s">
        <v>138</v>
      </c>
      <c r="J5" s="7" t="s">
        <v>138</v>
      </c>
      <c r="K5" s="7" t="s">
        <v>138</v>
      </c>
      <c r="L5" s="13"/>
      <c r="M5" s="14">
        <v>1E-3</v>
      </c>
      <c r="N5" s="14">
        <v>2.9999999999999997E-4</v>
      </c>
    </row>
    <row r="6" spans="1:14" ht="15" customHeight="1" x14ac:dyDescent="0.35">
      <c r="A6" s="7" t="s">
        <v>113</v>
      </c>
      <c r="B6" s="7" t="s">
        <v>114</v>
      </c>
      <c r="C6" s="11">
        <v>0.50839999999999996</v>
      </c>
      <c r="D6" s="11">
        <v>0.28100000000000003</v>
      </c>
      <c r="E6" s="11">
        <v>6.6020000000000003</v>
      </c>
      <c r="F6" s="11">
        <v>8.2000000000000007E-3</v>
      </c>
      <c r="G6" s="11">
        <v>8.9099999999999999E-2</v>
      </c>
      <c r="H6" s="15">
        <f>Runtime!R5</f>
        <v>1.29</v>
      </c>
      <c r="I6" s="16">
        <f t="shared" ref="I6:J12" si="0">IF(OR(D6="",D$5=""),"",D6/D$5-1)</f>
        <v>0.27901684114701886</v>
      </c>
      <c r="J6" s="16">
        <f t="shared" si="0"/>
        <v>-3.1538800058676819E-2</v>
      </c>
      <c r="K6" s="16">
        <f t="shared" ref="K6:K12" si="1">IF(OR(G6="",G$5=""),"",G6/G$5-1)</f>
        <v>0.92440604751619859</v>
      </c>
      <c r="L6" s="13" t="s">
        <v>139</v>
      </c>
      <c r="M6" s="14">
        <v>2.8E-3</v>
      </c>
      <c r="N6" s="14">
        <v>3.6900000000000002E-2</v>
      </c>
    </row>
    <row r="7" spans="1:14" ht="15" customHeight="1" x14ac:dyDescent="0.35">
      <c r="A7" s="7" t="s">
        <v>113</v>
      </c>
      <c r="B7" s="7" t="s">
        <v>115</v>
      </c>
      <c r="C7" s="11">
        <v>0.35709999999999997</v>
      </c>
      <c r="D7" s="11">
        <v>0.28949999999999998</v>
      </c>
      <c r="E7" s="11">
        <v>7.7037000000000004</v>
      </c>
      <c r="F7" s="11">
        <v>7.4000000000000003E-3</v>
      </c>
      <c r="G7" s="11">
        <v>8.1600000000000006E-2</v>
      </c>
      <c r="H7" s="15">
        <f>Runtime!R6</f>
        <v>13.88</v>
      </c>
      <c r="I7" s="16">
        <f t="shared" si="0"/>
        <v>0.31770596267637674</v>
      </c>
      <c r="J7" s="16">
        <f t="shared" si="0"/>
        <v>0.13007187912571516</v>
      </c>
      <c r="K7" s="16">
        <f t="shared" si="1"/>
        <v>0.7624190064794818</v>
      </c>
      <c r="L7" s="13" t="s">
        <v>140</v>
      </c>
      <c r="M7" s="14">
        <v>1.8E-3</v>
      </c>
      <c r="N7" s="14">
        <v>6.6E-3</v>
      </c>
    </row>
    <row r="8" spans="1:14" ht="23.25" customHeight="1" x14ac:dyDescent="0.35">
      <c r="A8" s="7" t="s">
        <v>113</v>
      </c>
      <c r="B8" s="7" t="s">
        <v>116</v>
      </c>
      <c r="C8" s="11">
        <v>0.49990000000000001</v>
      </c>
      <c r="D8" s="11">
        <v>3.9199999999999999E-2</v>
      </c>
      <c r="E8" s="11">
        <v>5.0781000000000001</v>
      </c>
      <c r="F8" s="11">
        <v>9.9000000000000008E-3</v>
      </c>
      <c r="G8" s="11">
        <v>0.1038</v>
      </c>
      <c r="H8" s="15">
        <f>Runtime!R7</f>
        <v>62.52</v>
      </c>
      <c r="I8" s="16">
        <f t="shared" si="0"/>
        <v>-0.82157487482931268</v>
      </c>
      <c r="J8" s="16">
        <f t="shared" si="0"/>
        <v>-0.25508288103271237</v>
      </c>
      <c r="K8" s="16">
        <f t="shared" si="1"/>
        <v>1.2419006479481642</v>
      </c>
      <c r="L8" s="13" t="s">
        <v>141</v>
      </c>
      <c r="M8" s="14">
        <v>3.5000000000000001E-3</v>
      </c>
      <c r="N8" s="14">
        <v>3.4200000000000001E-2</v>
      </c>
    </row>
    <row r="9" spans="1:14" ht="23.25" customHeight="1" x14ac:dyDescent="0.35">
      <c r="A9" s="7" t="s">
        <v>113</v>
      </c>
      <c r="B9" s="7" t="s">
        <v>117</v>
      </c>
      <c r="C9" s="11">
        <v>0.35270000000000001</v>
      </c>
      <c r="D9" s="11">
        <v>0.22239999999999999</v>
      </c>
      <c r="E9" s="11">
        <v>6.9592999999999998</v>
      </c>
      <c r="F9" s="11">
        <v>8.8000000000000005E-3</v>
      </c>
      <c r="G9" s="11">
        <v>9.3799999999999994E-2</v>
      </c>
      <c r="H9" s="15">
        <f>Runtime!R8</f>
        <v>56.96</v>
      </c>
      <c r="I9" s="16">
        <f t="shared" si="0"/>
        <v>1.2289485662266619E-2</v>
      </c>
      <c r="J9" s="16">
        <f t="shared" si="0"/>
        <v>2.0874284876045035E-2</v>
      </c>
      <c r="K9" s="16">
        <f t="shared" si="1"/>
        <v>1.0259179265658744</v>
      </c>
      <c r="L9" s="13" t="s">
        <v>142</v>
      </c>
      <c r="M9" s="14">
        <v>2.7000000000000001E-3</v>
      </c>
      <c r="N9" s="14">
        <v>2.1600000000000001E-2</v>
      </c>
    </row>
    <row r="10" spans="1:14" ht="15" customHeight="1" x14ac:dyDescent="0.35">
      <c r="A10" s="7" t="s">
        <v>113</v>
      </c>
      <c r="B10" s="7" t="s">
        <v>118</v>
      </c>
      <c r="C10" s="11">
        <v>0.40970000000000001</v>
      </c>
      <c r="D10" s="11">
        <v>0.16450000000000001</v>
      </c>
      <c r="E10" s="11">
        <v>6.8962000000000003</v>
      </c>
      <c r="F10" s="11">
        <v>1.06E-2</v>
      </c>
      <c r="G10" s="11">
        <v>0.11269999999999999</v>
      </c>
      <c r="H10" s="15">
        <f>Runtime!R9</f>
        <v>58.59</v>
      </c>
      <c r="I10" s="16">
        <f t="shared" si="0"/>
        <v>-0.25125170687300868</v>
      </c>
      <c r="J10" s="16">
        <f t="shared" si="0"/>
        <v>1.1618013789056691E-2</v>
      </c>
      <c r="K10" s="16">
        <f t="shared" si="1"/>
        <v>1.4341252699784017</v>
      </c>
      <c r="L10" s="13" t="s">
        <v>143</v>
      </c>
      <c r="M10" s="14">
        <v>3.3E-3</v>
      </c>
      <c r="N10" s="14">
        <v>3.0700000000000002E-2</v>
      </c>
    </row>
    <row r="11" spans="1:14" ht="23.25" customHeight="1" x14ac:dyDescent="0.35">
      <c r="A11" s="7" t="s">
        <v>113</v>
      </c>
      <c r="B11" s="7" t="s">
        <v>119</v>
      </c>
      <c r="C11" s="11">
        <v>0.40849999999999997</v>
      </c>
      <c r="D11" s="11">
        <v>0.29909999999999998</v>
      </c>
      <c r="E11" s="11">
        <v>7.8226000000000004</v>
      </c>
      <c r="F11" s="11">
        <v>9.2999999999999992E-3</v>
      </c>
      <c r="G11" s="11">
        <v>0.1042</v>
      </c>
      <c r="H11" s="15">
        <f>Runtime!R10</f>
        <v>74.63</v>
      </c>
      <c r="I11" s="16">
        <f t="shared" si="0"/>
        <v>0.36140191169776958</v>
      </c>
      <c r="J11" s="16">
        <f t="shared" si="0"/>
        <v>0.14751356901863</v>
      </c>
      <c r="K11" s="16">
        <f t="shared" si="1"/>
        <v>1.2505399568034559</v>
      </c>
      <c r="L11" s="13" t="s">
        <v>144</v>
      </c>
      <c r="M11" s="14">
        <v>1.4E-3</v>
      </c>
      <c r="N11" s="14">
        <v>1.49E-2</v>
      </c>
    </row>
    <row r="12" spans="1:14" ht="15" customHeight="1" x14ac:dyDescent="0.35">
      <c r="A12" s="7" t="s">
        <v>113</v>
      </c>
      <c r="B12" s="7" t="s">
        <v>120</v>
      </c>
      <c r="C12" s="11">
        <v>0.3553</v>
      </c>
      <c r="D12" s="11">
        <v>0.26</v>
      </c>
      <c r="E12" s="11">
        <v>7.4767999999999999</v>
      </c>
      <c r="F12" s="11">
        <v>7.4999999999999997E-3</v>
      </c>
      <c r="G12" s="11">
        <v>8.2000000000000003E-2</v>
      </c>
      <c r="H12" s="15">
        <f>Runtime!R11</f>
        <v>73.010000000000005</v>
      </c>
      <c r="I12" s="16">
        <f t="shared" si="0"/>
        <v>0.18343195266272194</v>
      </c>
      <c r="J12" s="16">
        <f t="shared" si="0"/>
        <v>9.6787443156813868E-2</v>
      </c>
      <c r="K12" s="16">
        <f t="shared" si="1"/>
        <v>0.7710583153347732</v>
      </c>
      <c r="L12" s="13" t="s">
        <v>145</v>
      </c>
      <c r="M12" s="14">
        <v>1.6000000000000001E-3</v>
      </c>
      <c r="N12" s="14">
        <v>0.01</v>
      </c>
    </row>
    <row r="14" spans="1:14" ht="15" customHeight="1" x14ac:dyDescent="0.35">
      <c r="A14" s="7" t="s">
        <v>121</v>
      </c>
      <c r="B14" s="7" t="s">
        <v>137</v>
      </c>
      <c r="C14" s="11">
        <v>8.1199999999999994E-2</v>
      </c>
      <c r="D14" s="11">
        <v>0.10920000000000001</v>
      </c>
      <c r="E14" s="11">
        <v>5.1734999999999998</v>
      </c>
      <c r="F14" s="11">
        <v>3.8999999999999998E-3</v>
      </c>
      <c r="G14" s="11">
        <v>4.1700000000000001E-2</v>
      </c>
      <c r="H14" s="12" t="s">
        <v>138</v>
      </c>
      <c r="I14" s="7" t="s">
        <v>138</v>
      </c>
      <c r="J14" s="7" t="s">
        <v>138</v>
      </c>
      <c r="K14" s="7" t="s">
        <v>138</v>
      </c>
      <c r="L14" s="13"/>
      <c r="M14" s="14">
        <v>8.0000000000000004E-4</v>
      </c>
      <c r="N14" s="14">
        <v>4.4000000000000003E-3</v>
      </c>
    </row>
    <row r="15" spans="1:14" ht="15" customHeight="1" x14ac:dyDescent="0.35">
      <c r="A15" s="7" t="s">
        <v>121</v>
      </c>
      <c r="B15" s="7" t="s">
        <v>114</v>
      </c>
      <c r="C15" s="11">
        <v>0.5373</v>
      </c>
      <c r="D15" s="11">
        <v>0.24490000000000001</v>
      </c>
      <c r="E15" s="11">
        <v>5.0137</v>
      </c>
      <c r="F15" s="11">
        <v>1.4E-2</v>
      </c>
      <c r="G15" s="11">
        <v>0.13750000000000001</v>
      </c>
      <c r="H15" s="15">
        <f>Runtime!R12</f>
        <v>0.91</v>
      </c>
      <c r="I15" s="16">
        <f t="shared" ref="I15:J21" si="2">IF(OR(D15="",D$14=""),"",D15/D$14-1)</f>
        <v>1.2426739926739927</v>
      </c>
      <c r="J15" s="16">
        <f t="shared" si="2"/>
        <v>-3.088818014883532E-2</v>
      </c>
      <c r="K15" s="16">
        <f t="shared" ref="K15:K21" si="3">IF(OR(G15="",G$14=""),"",G15/G$14-1)</f>
        <v>2.297362110311751</v>
      </c>
      <c r="L15" s="13" t="s">
        <v>146</v>
      </c>
      <c r="M15" s="14">
        <v>3.8999999999999998E-3</v>
      </c>
      <c r="N15" s="14">
        <v>6.2799999999999995E-2</v>
      </c>
    </row>
    <row r="16" spans="1:14" ht="23.25" customHeight="1" x14ac:dyDescent="0.35">
      <c r="A16" s="7" t="s">
        <v>121</v>
      </c>
      <c r="B16" s="7" t="s">
        <v>115</v>
      </c>
      <c r="C16" s="11">
        <v>0.25540000000000002</v>
      </c>
      <c r="D16" s="11">
        <v>0.20610000000000001</v>
      </c>
      <c r="E16" s="11">
        <v>6.7599</v>
      </c>
      <c r="F16" s="11">
        <v>1.03E-2</v>
      </c>
      <c r="G16" s="11">
        <v>0.10630000000000001</v>
      </c>
      <c r="H16" s="15">
        <f>Runtime!R13</f>
        <v>8.57</v>
      </c>
      <c r="I16" s="16">
        <f t="shared" si="2"/>
        <v>0.88736263736263732</v>
      </c>
      <c r="J16" s="16">
        <f t="shared" si="2"/>
        <v>0.30663960568280668</v>
      </c>
      <c r="K16" s="16">
        <f t="shared" si="3"/>
        <v>1.5491606714628299</v>
      </c>
      <c r="L16" s="13" t="s">
        <v>147</v>
      </c>
      <c r="M16" s="14">
        <v>1.6000000000000001E-3</v>
      </c>
      <c r="N16" s="14">
        <v>2.3900000000000001E-2</v>
      </c>
    </row>
    <row r="17" spans="1:14" ht="15" customHeight="1" x14ac:dyDescent="0.35">
      <c r="A17" s="7" t="s">
        <v>121</v>
      </c>
      <c r="B17" s="7" t="s">
        <v>116</v>
      </c>
      <c r="C17" s="11">
        <v>0.50019999999999998</v>
      </c>
      <c r="D17" s="11">
        <v>2.9100000000000001E-2</v>
      </c>
      <c r="E17" s="11">
        <v>4.0906000000000002</v>
      </c>
      <c r="F17" s="11">
        <v>5.4000000000000003E-3</v>
      </c>
      <c r="G17" s="11">
        <v>5.4699999999999999E-2</v>
      </c>
      <c r="H17" s="15">
        <f>Runtime!R14</f>
        <v>32.31</v>
      </c>
      <c r="I17" s="16">
        <f t="shared" si="2"/>
        <v>-0.73351648351648358</v>
      </c>
      <c r="J17" s="16">
        <f t="shared" si="2"/>
        <v>-0.2093167101575335</v>
      </c>
      <c r="K17" s="16">
        <f t="shared" si="3"/>
        <v>0.31175059952038353</v>
      </c>
      <c r="L17" s="13" t="s">
        <v>148</v>
      </c>
      <c r="M17" s="14">
        <v>1.6000000000000001E-3</v>
      </c>
      <c r="N17" s="14">
        <v>1.1599999999999999E-2</v>
      </c>
    </row>
    <row r="18" spans="1:14" ht="23.25" customHeight="1" x14ac:dyDescent="0.35">
      <c r="A18" s="7" t="s">
        <v>121</v>
      </c>
      <c r="B18" s="7" t="s">
        <v>117</v>
      </c>
      <c r="C18" s="11">
        <v>0.1351</v>
      </c>
      <c r="D18" s="11">
        <v>7.6899999999999996E-2</v>
      </c>
      <c r="E18" s="11">
        <v>4.9641999999999999</v>
      </c>
      <c r="F18" s="11">
        <v>5.7000000000000002E-3</v>
      </c>
      <c r="G18" s="11">
        <v>5.91E-2</v>
      </c>
      <c r="H18" s="15">
        <f>Runtime!R15</f>
        <v>26.69</v>
      </c>
      <c r="I18" s="16">
        <f t="shared" si="2"/>
        <v>-0.29578754578754585</v>
      </c>
      <c r="J18" s="16">
        <f t="shared" si="2"/>
        <v>-4.0456170870783792E-2</v>
      </c>
      <c r="K18" s="16">
        <f t="shared" si="3"/>
        <v>0.41726618705035978</v>
      </c>
      <c r="L18" s="13" t="s">
        <v>149</v>
      </c>
      <c r="M18" s="14">
        <v>1.4E-3</v>
      </c>
      <c r="N18" s="14">
        <v>1.24E-2</v>
      </c>
    </row>
    <row r="19" spans="1:14" ht="15" customHeight="1" x14ac:dyDescent="0.35">
      <c r="A19" s="7" t="s">
        <v>121</v>
      </c>
      <c r="B19" s="7" t="s">
        <v>118</v>
      </c>
      <c r="C19" s="11">
        <v>0.12330000000000001</v>
      </c>
      <c r="D19" s="11">
        <v>6.7400000000000002E-2</v>
      </c>
      <c r="E19" s="11">
        <v>5.1311999999999998</v>
      </c>
      <c r="F19" s="11">
        <v>6.8999999999999999E-3</v>
      </c>
      <c r="G19" s="11">
        <v>6.93E-2</v>
      </c>
      <c r="H19" s="15">
        <f>Runtime!R16</f>
        <v>38.36</v>
      </c>
      <c r="I19" s="16">
        <f t="shared" si="2"/>
        <v>-0.38278388278388276</v>
      </c>
      <c r="J19" s="16">
        <f t="shared" si="2"/>
        <v>-8.1762829805740456E-3</v>
      </c>
      <c r="K19" s="16">
        <f t="shared" si="3"/>
        <v>0.66187050359712218</v>
      </c>
      <c r="L19" s="13" t="s">
        <v>150</v>
      </c>
      <c r="M19" s="14">
        <v>1.6999999999999999E-3</v>
      </c>
      <c r="N19" s="14">
        <v>1.17E-2</v>
      </c>
    </row>
    <row r="20" spans="1:14" ht="23.25" customHeight="1" x14ac:dyDescent="0.35">
      <c r="A20" s="7" t="s">
        <v>121</v>
      </c>
      <c r="B20" s="7" t="s">
        <v>119</v>
      </c>
      <c r="C20" s="11">
        <v>0.30669999999999997</v>
      </c>
      <c r="D20" s="11">
        <v>0.20780000000000001</v>
      </c>
      <c r="E20" s="11">
        <v>7.1101000000000001</v>
      </c>
      <c r="F20" s="11">
        <v>1.6500000000000001E-2</v>
      </c>
      <c r="G20" s="11">
        <v>0.1736</v>
      </c>
      <c r="H20" s="15">
        <f>Runtime!R17</f>
        <v>58.25</v>
      </c>
      <c r="I20" s="16">
        <f t="shared" si="2"/>
        <v>0.90293040293040305</v>
      </c>
      <c r="J20" s="16">
        <f t="shared" si="2"/>
        <v>0.37433072388131827</v>
      </c>
      <c r="K20" s="16">
        <f t="shared" si="3"/>
        <v>3.1630695443645083</v>
      </c>
      <c r="L20" s="13" t="s">
        <v>151</v>
      </c>
      <c r="M20" s="14">
        <v>2.3E-3</v>
      </c>
      <c r="N20" s="14">
        <v>8.7499999999999994E-2</v>
      </c>
    </row>
    <row r="21" spans="1:14" ht="15" customHeight="1" x14ac:dyDescent="0.35">
      <c r="A21" s="7" t="s">
        <v>121</v>
      </c>
      <c r="B21" s="7" t="s">
        <v>120</v>
      </c>
      <c r="C21" s="11">
        <v>0.2072</v>
      </c>
      <c r="D21" s="11">
        <v>0.15210000000000001</v>
      </c>
      <c r="E21" s="11">
        <v>6.2797000000000001</v>
      </c>
      <c r="F21" s="11">
        <v>8.2000000000000007E-3</v>
      </c>
      <c r="G21" s="11">
        <v>8.5599999999999996E-2</v>
      </c>
      <c r="H21" s="15">
        <f>Runtime!R18</f>
        <v>35.78</v>
      </c>
      <c r="I21" s="16">
        <f t="shared" si="2"/>
        <v>0.39285714285714302</v>
      </c>
      <c r="J21" s="16">
        <f t="shared" si="2"/>
        <v>0.21382043104281445</v>
      </c>
      <c r="K21" s="16">
        <f t="shared" si="3"/>
        <v>1.0527577937649877</v>
      </c>
      <c r="L21" s="13" t="s">
        <v>152</v>
      </c>
      <c r="M21" s="14">
        <v>1.1999999999999999E-3</v>
      </c>
      <c r="N21" s="14">
        <v>1.6899999999999998E-2</v>
      </c>
    </row>
    <row r="23" spans="1:14" ht="15" customHeight="1" x14ac:dyDescent="0.35">
      <c r="A23" s="10" t="s">
        <v>153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zoomScaleNormal="100" workbookViewId="0"/>
  </sheetViews>
  <sheetFormatPr defaultColWidth="8.6328125" defaultRowHeight="14.5" x14ac:dyDescent="0.35"/>
  <cols>
    <col min="1" max="1" width="32" style="1" customWidth="1"/>
    <col min="2" max="2" width="40" style="1" customWidth="1"/>
    <col min="3" max="3" width="52" style="1" customWidth="1"/>
  </cols>
  <sheetData>
    <row r="1" spans="1:3" ht="17.25" customHeight="1" x14ac:dyDescent="0.4">
      <c r="A1" s="2" t="s">
        <v>154</v>
      </c>
    </row>
    <row r="3" spans="1:3" ht="15" customHeight="1" x14ac:dyDescent="0.35">
      <c r="A3" s="4" t="s">
        <v>155</v>
      </c>
      <c r="B3" s="4" t="s">
        <v>156</v>
      </c>
      <c r="C3" s="4" t="s">
        <v>157</v>
      </c>
    </row>
    <row r="4" spans="1:3" ht="15" customHeight="1" x14ac:dyDescent="0.35">
      <c r="A4" s="5" t="s">
        <v>158</v>
      </c>
      <c r="B4" s="5" t="s">
        <v>159</v>
      </c>
      <c r="C4" s="5" t="s">
        <v>160</v>
      </c>
    </row>
    <row r="5" spans="1:3" ht="15" customHeight="1" x14ac:dyDescent="0.35">
      <c r="A5" s="5" t="s">
        <v>161</v>
      </c>
      <c r="B5" s="5" t="s">
        <v>162</v>
      </c>
      <c r="C5" s="5" t="s">
        <v>163</v>
      </c>
    </row>
    <row r="6" spans="1:3" ht="15" customHeight="1" x14ac:dyDescent="0.35">
      <c r="A6" s="5" t="s">
        <v>127</v>
      </c>
      <c r="B6" s="5" t="s">
        <v>164</v>
      </c>
      <c r="C6" s="5" t="s">
        <v>165</v>
      </c>
    </row>
    <row r="7" spans="1:3" ht="15" customHeight="1" x14ac:dyDescent="0.35">
      <c r="A7" s="5" t="s">
        <v>166</v>
      </c>
      <c r="B7" s="5" t="s">
        <v>167</v>
      </c>
      <c r="C7" s="5" t="s">
        <v>168</v>
      </c>
    </row>
    <row r="8" spans="1:3" ht="15" customHeight="1" x14ac:dyDescent="0.35">
      <c r="A8" s="5" t="s">
        <v>169</v>
      </c>
      <c r="B8" s="5" t="s">
        <v>170</v>
      </c>
      <c r="C8" s="5" t="s">
        <v>171</v>
      </c>
    </row>
    <row r="9" spans="1:3" ht="15" customHeight="1" x14ac:dyDescent="0.35">
      <c r="A9" s="5" t="s">
        <v>172</v>
      </c>
      <c r="B9" s="5" t="s">
        <v>173</v>
      </c>
      <c r="C9" s="5" t="s">
        <v>174</v>
      </c>
    </row>
    <row r="10" spans="1:3" ht="15" customHeight="1" x14ac:dyDescent="0.35">
      <c r="A10" s="5" t="s">
        <v>175</v>
      </c>
      <c r="B10" s="5" t="s">
        <v>176</v>
      </c>
      <c r="C10" s="5" t="s">
        <v>177</v>
      </c>
    </row>
    <row r="11" spans="1:3" ht="15" customHeight="1" x14ac:dyDescent="0.35">
      <c r="A11" s="5" t="s">
        <v>178</v>
      </c>
      <c r="B11" s="5" t="s">
        <v>179</v>
      </c>
      <c r="C11" s="5" t="s">
        <v>180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tabSelected="1" zoomScaleNormal="100" workbookViewId="0"/>
  </sheetViews>
  <sheetFormatPr defaultColWidth="8.6328125" defaultRowHeight="14.5" x14ac:dyDescent="0.35"/>
  <cols>
    <col min="1" max="1" width="5" style="1" customWidth="1"/>
    <col min="2" max="2" width="70" style="1" customWidth="1"/>
    <col min="3" max="5" width="14" style="1" customWidth="1"/>
  </cols>
  <sheetData>
    <row r="1" spans="1:5" ht="17.25" customHeight="1" x14ac:dyDescent="0.4">
      <c r="A1" s="2" t="s">
        <v>181</v>
      </c>
    </row>
    <row r="2" spans="1:5" ht="15" customHeight="1" x14ac:dyDescent="0.35">
      <c r="A2" s="3" t="s">
        <v>182</v>
      </c>
    </row>
    <row r="4" spans="1:5" ht="15" customHeight="1" x14ac:dyDescent="0.35">
      <c r="A4" s="4" t="s">
        <v>183</v>
      </c>
      <c r="B4" s="4" t="s">
        <v>184</v>
      </c>
      <c r="C4" s="4" t="s">
        <v>185</v>
      </c>
      <c r="D4" s="4" t="s">
        <v>186</v>
      </c>
      <c r="E4" s="4" t="s">
        <v>187</v>
      </c>
    </row>
    <row r="5" spans="1:5" ht="15" customHeight="1" x14ac:dyDescent="0.35">
      <c r="A5" s="5">
        <v>1</v>
      </c>
      <c r="B5" s="5" t="s">
        <v>188</v>
      </c>
      <c r="C5" s="13"/>
      <c r="D5" s="13"/>
      <c r="E5" s="13" t="s">
        <v>189</v>
      </c>
    </row>
    <row r="6" spans="1:5" ht="15" customHeight="1" x14ac:dyDescent="0.35">
      <c r="A6" s="5">
        <v>2</v>
      </c>
      <c r="B6" s="5" t="s">
        <v>190</v>
      </c>
      <c r="C6" s="13"/>
      <c r="D6" s="13"/>
      <c r="E6" s="13" t="s">
        <v>189</v>
      </c>
    </row>
    <row r="7" spans="1:5" ht="15" customHeight="1" x14ac:dyDescent="0.35">
      <c r="A7" s="5">
        <v>3</v>
      </c>
      <c r="B7" s="5" t="s">
        <v>191</v>
      </c>
      <c r="C7" s="13"/>
      <c r="D7" s="13"/>
      <c r="E7" s="13" t="s">
        <v>189</v>
      </c>
    </row>
    <row r="8" spans="1:5" ht="15" customHeight="1" x14ac:dyDescent="0.35">
      <c r="A8" s="5">
        <v>4</v>
      </c>
      <c r="B8" s="5" t="s">
        <v>192</v>
      </c>
      <c r="C8" s="13"/>
      <c r="D8" s="13"/>
      <c r="E8" s="13" t="s">
        <v>189</v>
      </c>
    </row>
    <row r="9" spans="1:5" ht="15" customHeight="1" x14ac:dyDescent="0.35">
      <c r="A9" s="5">
        <v>5</v>
      </c>
      <c r="B9" s="5" t="s">
        <v>193</v>
      </c>
      <c r="C9" s="13"/>
      <c r="D9" s="13"/>
      <c r="E9" s="13" t="s">
        <v>189</v>
      </c>
    </row>
    <row r="10" spans="1:5" ht="15" customHeight="1" x14ac:dyDescent="0.35">
      <c r="A10" s="5">
        <v>6</v>
      </c>
      <c r="B10" s="5" t="s">
        <v>194</v>
      </c>
      <c r="C10" s="13"/>
      <c r="D10" s="13"/>
      <c r="E10" s="13" t="s">
        <v>189</v>
      </c>
    </row>
    <row r="11" spans="1:5" ht="15" customHeight="1" x14ac:dyDescent="0.35">
      <c r="A11" s="5">
        <v>7</v>
      </c>
      <c r="B11" s="5" t="s">
        <v>195</v>
      </c>
      <c r="C11" s="13"/>
      <c r="D11" s="13"/>
      <c r="E11" s="13" t="s">
        <v>189</v>
      </c>
    </row>
    <row r="12" spans="1:5" ht="15" customHeight="1" x14ac:dyDescent="0.35">
      <c r="A12" s="5">
        <v>8</v>
      </c>
      <c r="B12" s="5" t="s">
        <v>196</v>
      </c>
      <c r="C12" s="13"/>
      <c r="D12" s="13"/>
      <c r="E12" s="13" t="s">
        <v>189</v>
      </c>
    </row>
    <row r="13" spans="1:5" ht="15" customHeight="1" x14ac:dyDescent="0.35">
      <c r="A13" s="5">
        <v>9</v>
      </c>
      <c r="B13" s="5" t="s">
        <v>197</v>
      </c>
      <c r="C13" s="13"/>
      <c r="D13" s="13"/>
      <c r="E13" s="13" t="s">
        <v>189</v>
      </c>
    </row>
    <row r="14" spans="1:5" ht="15" customHeight="1" x14ac:dyDescent="0.35">
      <c r="A14" s="5">
        <v>10</v>
      </c>
      <c r="B14" s="5" t="s">
        <v>198</v>
      </c>
      <c r="C14" s="13"/>
      <c r="D14" s="13"/>
      <c r="E14" s="13" t="s">
        <v>189</v>
      </c>
    </row>
    <row r="15" spans="1:5" ht="15" customHeight="1" x14ac:dyDescent="0.35">
      <c r="A15" s="5">
        <v>11</v>
      </c>
      <c r="B15" s="5" t="s">
        <v>199</v>
      </c>
      <c r="C15" s="13"/>
      <c r="D15" s="13"/>
      <c r="E15" s="13" t="s">
        <v>189</v>
      </c>
    </row>
    <row r="16" spans="1:5" ht="15" customHeight="1" x14ac:dyDescent="0.35">
      <c r="A16" s="5">
        <v>12</v>
      </c>
      <c r="B16" s="5" t="s">
        <v>200</v>
      </c>
      <c r="C16" s="13"/>
      <c r="D16" s="13"/>
      <c r="E16" s="13" t="s">
        <v>189</v>
      </c>
    </row>
    <row r="18" spans="2:3" ht="15" customHeight="1" x14ac:dyDescent="0.35">
      <c r="B18" s="17" t="s">
        <v>201</v>
      </c>
      <c r="C18" s="18">
        <f>COUNTIF(E5:E16,"Done")</f>
        <v>0</v>
      </c>
    </row>
    <row r="19" spans="2:3" ht="15" customHeight="1" x14ac:dyDescent="0.35">
      <c r="B19" s="17" t="s">
        <v>202</v>
      </c>
      <c r="C19" s="19">
        <f>C18/COUNTA(B5:B16)</f>
        <v>0</v>
      </c>
    </row>
    <row r="21" spans="2:3" ht="15" customHeight="1" x14ac:dyDescent="0.35">
      <c r="B21" s="10" t="s">
        <v>203</v>
      </c>
    </row>
  </sheetData>
  <dataValidations count="1">
    <dataValidation type="list" allowBlank="1" sqref="E5:E16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zoomScaleNormal="100" workbookViewId="0"/>
  </sheetViews>
  <sheetFormatPr defaultColWidth="8.6328125" defaultRowHeight="14.5" x14ac:dyDescent="0.35"/>
  <cols>
    <col min="1" max="1" width="5" style="1" customWidth="1"/>
    <col min="2" max="2" width="50" style="1" customWidth="1"/>
    <col min="3" max="3" width="70" style="1" customWidth="1"/>
    <col min="4" max="4" width="60" style="1" customWidth="1"/>
  </cols>
  <sheetData>
    <row r="1" spans="1:4" ht="17.25" customHeight="1" x14ac:dyDescent="0.4">
      <c r="A1" s="2" t="s">
        <v>204</v>
      </c>
    </row>
    <row r="3" spans="1:4" ht="15" customHeight="1" x14ac:dyDescent="0.35">
      <c r="A3" s="4" t="s">
        <v>183</v>
      </c>
      <c r="B3" s="4" t="s">
        <v>205</v>
      </c>
      <c r="C3" s="4" t="s">
        <v>206</v>
      </c>
      <c r="D3" s="4" t="s">
        <v>207</v>
      </c>
    </row>
    <row r="4" spans="1:4" ht="23.25" customHeight="1" x14ac:dyDescent="0.35">
      <c r="A4" s="5">
        <v>1</v>
      </c>
      <c r="B4" s="5" t="s">
        <v>208</v>
      </c>
      <c r="C4" s="5" t="s">
        <v>209</v>
      </c>
      <c r="D4" s="5" t="s">
        <v>210</v>
      </c>
    </row>
    <row r="5" spans="1:4" ht="23.25" customHeight="1" x14ac:dyDescent="0.35">
      <c r="A5" s="5">
        <v>2</v>
      </c>
      <c r="B5" s="5" t="s">
        <v>211</v>
      </c>
      <c r="C5" s="5" t="s">
        <v>212</v>
      </c>
      <c r="D5" s="5" t="s">
        <v>213</v>
      </c>
    </row>
    <row r="6" spans="1:4" ht="23.25" customHeight="1" x14ac:dyDescent="0.35">
      <c r="A6" s="5">
        <v>3</v>
      </c>
      <c r="B6" s="5" t="s">
        <v>214</v>
      </c>
      <c r="C6" s="5" t="s">
        <v>215</v>
      </c>
      <c r="D6" s="5" t="s">
        <v>216</v>
      </c>
    </row>
    <row r="7" spans="1:4" ht="23.25" customHeight="1" x14ac:dyDescent="0.35">
      <c r="A7" s="5">
        <v>4</v>
      </c>
      <c r="B7" s="5" t="s">
        <v>217</v>
      </c>
      <c r="C7" s="5" t="s">
        <v>218</v>
      </c>
      <c r="D7" s="5" t="s">
        <v>219</v>
      </c>
    </row>
    <row r="8" spans="1:4" ht="23.25" customHeight="1" x14ac:dyDescent="0.35">
      <c r="A8" s="5">
        <v>5</v>
      </c>
      <c r="B8" s="5" t="s">
        <v>220</v>
      </c>
      <c r="C8" s="5" t="s">
        <v>221</v>
      </c>
      <c r="D8" s="5" t="s">
        <v>222</v>
      </c>
    </row>
    <row r="9" spans="1:4" ht="23.25" customHeight="1" x14ac:dyDescent="0.35">
      <c r="A9" s="5">
        <v>6</v>
      </c>
      <c r="B9" s="5" t="s">
        <v>223</v>
      </c>
      <c r="C9" s="5" t="s">
        <v>224</v>
      </c>
      <c r="D9" s="5" t="s">
        <v>225</v>
      </c>
    </row>
    <row r="10" spans="1:4" ht="15" customHeight="1" x14ac:dyDescent="0.35">
      <c r="A10" s="5">
        <v>7</v>
      </c>
      <c r="B10" s="5" t="s">
        <v>226</v>
      </c>
      <c r="C10" s="5" t="s">
        <v>227</v>
      </c>
      <c r="D10" s="5" t="s">
        <v>228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Method Plan</vt:lpstr>
      <vt:lpstr>Parameter Sweep</vt:lpstr>
      <vt:lpstr>Runtime</vt:lpstr>
      <vt:lpstr>Metrics</vt:lpstr>
      <vt:lpstr>Metric Guide</vt:lpstr>
      <vt:lpstr>Checklist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PMYLS</cp:lastModifiedBy>
  <cp:revision>0</cp:revision>
  <dcterms:created xsi:type="dcterms:W3CDTF">2026-10-02T19:38:37Z</dcterms:created>
  <dcterms:modified xsi:type="dcterms:W3CDTF">2026-10-02T20:22:43Z</dcterms:modified>
  <dc:language>en-US</dc:language>
</cp:coreProperties>
</file>