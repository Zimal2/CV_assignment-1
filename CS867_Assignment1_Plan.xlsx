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500" firstSheet="1" activeTab="5" autoFilterDateGrouping="1"/>
  </bookViews>
  <sheets>
    <sheet xmlns:r="http://schemas.openxmlformats.org/officeDocument/2006/relationships" name="Method Plan" sheetId="1" state="visible" r:id="rId1"/>
    <sheet xmlns:r="http://schemas.openxmlformats.org/officeDocument/2006/relationships" name="Parameter Sweep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Metric Guide" sheetId="5" state="visible" r:id="rId5"/>
    <sheet xmlns:r="http://schemas.openxmlformats.org/officeDocument/2006/relationships" name="Checklist" sheetId="6" state="visible" r:id="rId6"/>
    <sheet xmlns:r="http://schemas.openxmlformats.org/officeDocument/2006/relationships" name="Change Log" sheetId="7" state="visible" r:id="rId7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9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i val="1"/>
      <sz val="9"/>
    </font>
    <font>
      <name val="Arial"/>
      <charset val="1"/>
      <color rgb="FF008000"/>
      <sz val="10"/>
    </font>
    <font>
      <name val="Arial"/>
      <charset val="1"/>
      <b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4" fillId="0" borderId="1" pivotButton="0" quotePrefix="0" xfId="0"/>
    <xf numFmtId="0" fontId="5" fillId="3" borderId="1" pivotButton="0" quotePrefix="0" xfId="0"/>
    <xf numFmtId="2" fontId="4" fillId="0" borderId="1" pivotButton="0" quotePrefix="0" xfId="0"/>
    <xf numFmtId="0" fontId="6" fillId="0" borderId="0" pivotButton="0" quotePrefix="0" xfId="0"/>
    <xf numFmtId="164" fontId="5" fillId="3" borderId="1" pivotButton="0" quotePrefix="0" xfId="0"/>
    <xf numFmtId="2" fontId="0" fillId="0" borderId="1" pivotButton="0" quotePrefix="0" xfId="0"/>
    <xf numFmtId="0" fontId="5" fillId="3" borderId="1" applyAlignment="1" pivotButton="0" quotePrefix="0" xfId="0">
      <alignment vertical="top" wrapText="1"/>
    </xf>
    <xf numFmtId="165" fontId="5" fillId="0" borderId="1" pivotButton="0" quotePrefix="0" xfId="0"/>
    <xf numFmtId="2" fontId="7" fillId="0" borderId="1" pivotButton="0" quotePrefix="0" xfId="0"/>
    <xf numFmtId="166" fontId="4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9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A5" sqref="A5"/>
    </sheetView>
  </sheetViews>
  <sheetFormatPr baseColWidth="8" defaultColWidth="8.6328125" defaultRowHeight="14.5"/>
  <cols>
    <col width="16" customWidth="1" style="1" min="1" max="1"/>
    <col width="22" customWidth="1" style="1" min="2" max="2"/>
    <col width="50" customWidth="1" style="1" min="3" max="3"/>
    <col width="38" customWidth="1" style="1" min="4" max="4"/>
    <col width="44" customWidth="1" style="1" min="5" max="5"/>
    <col width="40" customWidth="1" style="1" min="6" max="6"/>
  </cols>
  <sheetData>
    <row r="1" ht="17.25" customHeight="1" s="1">
      <c r="A1" s="2" t="inlineStr">
        <is>
          <t>CS867 Assignment 1 - Method Plan</t>
        </is>
      </c>
    </row>
    <row r="2" ht="15" customHeight="1" s="1">
      <c r="A2" s="3" t="inlineStr">
        <is>
          <t>Apply to Chest.bmp and Skeleton.bmp separately; tune parameters per image.</t>
        </is>
      </c>
    </row>
    <row r="4" ht="15" customHeight="1" s="1">
      <c r="A4" s="4" t="inlineStr">
        <is>
          <t>Part</t>
        </is>
      </c>
      <c r="B4" s="4" t="inlineStr">
        <is>
          <t>Method</t>
        </is>
      </c>
      <c r="C4" s="4" t="inlineStr">
        <is>
          <t>Pipeline / Steps</t>
        </is>
      </c>
      <c r="D4" s="4" t="inlineStr">
        <is>
          <t>Main Purpose</t>
        </is>
      </c>
      <c r="E4" s="4" t="inlineStr">
        <is>
          <t>Key Parameters (start values)</t>
        </is>
      </c>
      <c r="F4" s="4" t="inlineStr">
        <is>
          <t>Risks / Artifacts</t>
        </is>
      </c>
    </row>
    <row r="5" ht="23.25" customHeight="1" s="1">
      <c r="A5" s="5" t="inlineStr">
        <is>
          <t>(a) Spatial only</t>
        </is>
      </c>
      <c r="B5" s="5" t="inlineStr">
        <is>
          <t>Final spatial</t>
        </is>
      </c>
      <c r="C5" s="5" t="inlineStr">
        <is>
          <t>Percentile stretch (1-99%) -&gt; gamma -&gt; CLAHE -&gt; bilateral/median denoise -&gt; unsharp mask</t>
        </is>
      </c>
      <c r="D5" s="5" t="inlineStr">
        <is>
          <t>Improve local contrast and visible detail</t>
        </is>
      </c>
      <c r="E5" s="5" t="inlineStr">
        <is>
          <t>gamma 0.6-1.2; CLAHE clip 1.5-3.0, 8x8 tiles; unsharp sigma 1-2, k 0.5-1.2</t>
        </is>
      </c>
      <c r="F5" s="5" t="inlineStr">
        <is>
          <t>Noise amplification (CLAHE), halos (unsharp)</t>
        </is>
      </c>
    </row>
    <row r="6" ht="15" customHeight="1" s="1">
      <c r="A6" s="5" t="inlineStr">
        <is>
          <t>(a) Spatial only</t>
        </is>
      </c>
      <c r="B6" s="5" t="inlineStr">
        <is>
          <t>Baseline</t>
        </is>
      </c>
      <c r="C6" s="5" t="inlineStr">
        <is>
          <t>Global histogram equalization</t>
        </is>
      </c>
      <c r="D6" s="5" t="inlineStr">
        <is>
          <t>Reference for comparison</t>
        </is>
      </c>
      <c r="E6" s="5" t="inlineStr">
        <is>
          <t>None</t>
        </is>
      </c>
      <c r="F6" s="5" t="inlineStr">
        <is>
          <t>Over-enhancement, washed-out regions</t>
        </is>
      </c>
    </row>
    <row r="7" ht="23.25" customHeight="1" s="1">
      <c r="A7" s="5" t="inlineStr">
        <is>
          <t>(b) Fourier only</t>
        </is>
      </c>
      <c r="B7" s="5" t="inlineStr">
        <is>
          <t>Final Fourier</t>
        </is>
      </c>
      <c r="C7" s="5" t="inlineStr">
        <is>
          <t>Gaussian / Butterworth high-frequency emphasis: H = a + b*H_HP</t>
        </is>
      </c>
      <c r="D7" s="5" t="inlineStr">
        <is>
          <t>Boost selected frequencies while keeping low-frequency content</t>
        </is>
      </c>
      <c r="E7" s="5" t="inlineStr">
        <is>
          <t>a 0.5-1.0; b 1.0-2.0; D0 20-60; Butterworth order n = 1 or 2</t>
        </is>
      </c>
      <c r="F7" s="5" t="inlineStr">
        <is>
          <t>Ringing if cutoff too sharp or n too high</t>
        </is>
      </c>
    </row>
    <row r="8" ht="23.25" customHeight="1" s="1">
      <c r="A8" s="5" t="inlineStr">
        <is>
          <t>(b) Fourier only</t>
        </is>
      </c>
      <c r="B8" s="5" t="inlineStr">
        <is>
          <t>Baseline (negative result)</t>
        </is>
      </c>
      <c r="C8" s="5" t="inlineStr">
        <is>
          <t>Plain Gaussian / ideal high-pass</t>
        </is>
      </c>
      <c r="D8" s="5" t="inlineStr">
        <is>
          <t>Show why removing low frequencies darkens image</t>
        </is>
      </c>
      <c r="E8" s="5" t="inlineStr">
        <is>
          <t>D0 20-60</t>
        </is>
      </c>
      <c r="F8" s="5" t="inlineStr">
        <is>
          <t>Dark edge-only image, noise amplification</t>
        </is>
      </c>
    </row>
    <row r="9" ht="23.25" customHeight="1" s="1">
      <c r="A9" s="5" t="inlineStr">
        <is>
          <t>(b) Fourier only</t>
        </is>
      </c>
      <c r="B9" s="5" t="inlineStr">
        <is>
          <t>Extra experiment (optional)</t>
        </is>
      </c>
      <c r="C9" s="5" t="inlineStr">
        <is>
          <t>Homomorphic filter: log -&gt; FFT -&gt; H -&gt; IFFT -&gt; exp</t>
        </is>
      </c>
      <c r="D9" s="5" t="inlineStr">
        <is>
          <t>Correct uneven illumination</t>
        </is>
      </c>
      <c r="E9" s="5" t="inlineStr">
        <is>
          <t>gamma_L 0.5-0.9; gamma_H 1.2-2.0; c = 1; several D0</t>
        </is>
      </c>
      <c r="F9" s="5" t="inlineStr">
        <is>
          <t>Can over-flatten brightness</t>
        </is>
      </c>
    </row>
    <row r="10" ht="23.25" customHeight="1" s="1">
      <c r="A10" s="5" t="inlineStr">
        <is>
          <t>(c) Hybrid 1</t>
        </is>
      </c>
      <c r="B10" s="5" t="inlineStr">
        <is>
          <t>Sequential</t>
        </is>
      </c>
      <c r="C10" s="5" t="inlineStr">
        <is>
          <t>Homomorphic -&gt; percentile stretch -&gt; CLAHE -&gt; mild unsharp -&gt; blend with original</t>
        </is>
      </c>
      <c r="D10" s="5" t="inlineStr">
        <is>
          <t>Fix illumination first, then local detail</t>
        </is>
      </c>
      <c r="E10" s="5" t="inlineStr">
        <is>
          <t>alpha 0.7 / 0.8 / 0.9 (I = alpha*processed + (1-alpha)*original)</t>
        </is>
      </c>
      <c r="F10" s="5" t="inlineStr">
        <is>
          <t>Higher cost; many parameters to tune</t>
        </is>
      </c>
    </row>
    <row r="11" ht="23.25" customHeight="1" s="1">
      <c r="A11" s="5" t="inlineStr">
        <is>
          <t>(c) Hybrid 2</t>
        </is>
      </c>
      <c r="B11" s="5" t="inlineStr">
        <is>
          <t>Weighted fusion</t>
        </is>
      </c>
      <c r="C11" s="5" t="inlineStr">
        <is>
          <t>I = w*I_spatial + (1-w)*I_fourier</t>
        </is>
      </c>
      <c r="D11" s="5" t="inlineStr">
        <is>
          <t>Test whether complementary outputs balance better</t>
        </is>
      </c>
      <c r="E11" s="5" t="inlineStr">
        <is>
          <t>w 0.5 / 0.6 / 0.7</t>
        </is>
      </c>
      <c r="F11" s="5" t="inlineStr">
        <is>
          <t>Can blur both methods' strengths</t>
        </is>
      </c>
    </row>
    <row r="12" ht="23.25" customHeight="1" s="1">
      <c r="A12" s="5" t="inlineStr">
        <is>
          <t>(d) Analysis</t>
        </is>
      </c>
      <c r="B12" s="5" t="inlineStr">
        <is>
          <t>Comparison</t>
        </is>
      </c>
      <c r="C12" s="5" t="inlineStr">
        <is>
          <t>Visuals, histograms, FFT spectra, filter masks, zoomed crops, metrics, runtime</t>
        </is>
      </c>
      <c r="D12" s="5" t="inlineStr">
        <is>
          <t>Defend which method is best and why</t>
        </is>
      </c>
      <c r="E12" s="5" t="inlineStr">
        <is>
          <t>Same metrics for all outputs</t>
        </is>
      </c>
      <c r="F12" s="5" t="inlineStr">
        <is>
          <t>Metrics reward noise; PSNR/SSIM vs original not valid quality measures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Normal="100" workbookViewId="0">
      <selection activeCell="A1" sqref="A1"/>
    </sheetView>
  </sheetViews>
  <sheetFormatPr baseColWidth="8" defaultColWidth="8.6328125" defaultRowHeight="14.5"/>
  <cols>
    <col width="38" customWidth="1" style="1" min="1" max="1"/>
    <col width="12" customWidth="1" style="1" min="2" max="2"/>
    <col width="40" customWidth="1" style="1" min="3" max="3"/>
    <col width="16" customWidth="1" style="1" min="4" max="5"/>
    <col width="40" customWidth="1" style="1" min="6" max="6"/>
  </cols>
  <sheetData>
    <row r="1" ht="17.25" customHeight="1" s="1">
      <c r="A1" s="2" t="inlineStr">
        <is>
          <t>Parameter Sweep Log</t>
        </is>
      </c>
    </row>
    <row r="2" ht="15" customHeight="1" s="1">
      <c r="A2" s="3" t="inlineStr">
        <is>
          <t>Blue cells = your inputs. Fill Chosen? with Yes after visual inspection (do not choose by score alone).</t>
        </is>
      </c>
    </row>
    <row r="4" ht="15" customHeight="1" s="1">
      <c r="A4" s="4" t="inlineStr">
        <is>
          <t>Parameter</t>
        </is>
      </c>
      <c r="B4" s="4" t="inlineStr">
        <is>
          <t>Method</t>
        </is>
      </c>
      <c r="C4" s="4" t="inlineStr">
        <is>
          <t>Values to test</t>
        </is>
      </c>
      <c r="D4" s="4" t="inlineStr">
        <is>
          <t>Chest best</t>
        </is>
      </c>
      <c r="E4" s="4" t="inlineStr">
        <is>
          <t>Skeleton best</t>
        </is>
      </c>
      <c r="F4" s="4" t="inlineStr">
        <is>
          <t>Notes (artifacts seen)</t>
        </is>
      </c>
    </row>
    <row r="5" ht="15" customHeight="1" s="1">
      <c r="A5" s="5" t="inlineStr">
        <is>
          <t>Gamma</t>
        </is>
      </c>
      <c r="B5" s="5" t="inlineStr">
        <is>
          <t>Spatial</t>
        </is>
      </c>
      <c r="C5" s="5" t="inlineStr">
        <is>
          <t>0.6, 0.8, 1.0, 1.2</t>
        </is>
      </c>
      <c r="D5" s="6" t="inlineStr">
        <is>
          <t>0.8</t>
        </is>
      </c>
      <c r="E5" s="6" t="inlineStr">
        <is>
          <t>0.6</t>
        </is>
      </c>
      <c r="F5" s="6" t="n"/>
    </row>
    <row r="6" ht="15" customHeight="1" s="1">
      <c r="A6" s="5" t="inlineStr">
        <is>
          <t>CLAHE clip limit</t>
        </is>
      </c>
      <c r="B6" s="5" t="inlineStr">
        <is>
          <t>Spatial</t>
        </is>
      </c>
      <c r="C6" s="5" t="inlineStr">
        <is>
          <t>1.5, 2.0, 3.0</t>
        </is>
      </c>
      <c r="D6" s="6" t="inlineStr">
        <is>
          <t>1.5</t>
        </is>
      </c>
      <c r="E6" s="6" t="inlineStr">
        <is>
          <t>1.5</t>
        </is>
      </c>
      <c r="F6" s="6" t="n"/>
    </row>
    <row r="7" ht="15" customHeight="1" s="1">
      <c r="A7" s="5" t="inlineStr">
        <is>
          <t>Unsharp amount k</t>
        </is>
      </c>
      <c r="B7" s="5" t="inlineStr">
        <is>
          <t>Spatial</t>
        </is>
      </c>
      <c r="C7" s="5" t="inlineStr">
        <is>
          <t>0.5, 0.8, 1.0</t>
        </is>
      </c>
      <c r="D7" s="6" t="inlineStr">
        <is>
          <t>0.7</t>
        </is>
      </c>
      <c r="E7" s="6" t="inlineStr">
        <is>
          <t>0.7</t>
        </is>
      </c>
      <c r="F7" s="6" t="n"/>
    </row>
    <row r="8" ht="15" customHeight="1" s="1">
      <c r="A8" s="5" t="inlineStr">
        <is>
          <t>Unsharp sigma</t>
        </is>
      </c>
      <c r="B8" s="5" t="inlineStr">
        <is>
          <t>Spatial</t>
        </is>
      </c>
      <c r="C8" s="5" t="inlineStr">
        <is>
          <t>1, 1.5, 2</t>
        </is>
      </c>
      <c r="D8" s="6" t="inlineStr">
        <is>
          <t>1.5</t>
        </is>
      </c>
      <c r="E8" s="6" t="inlineStr">
        <is>
          <t>1.5</t>
        </is>
      </c>
      <c r="F8" s="6" t="n"/>
    </row>
    <row r="9" ht="15" customHeight="1" s="1">
      <c r="A9" s="5" t="inlineStr">
        <is>
          <t>Cutoff D0 (proportional to image size)</t>
        </is>
      </c>
      <c r="B9" s="5" t="inlineStr">
        <is>
          <t>Fourier</t>
        </is>
      </c>
      <c r="C9" s="5" t="inlineStr">
        <is>
          <t>several, e.g. 2%, 5%, 10% of min(H,W)</t>
        </is>
      </c>
      <c r="D9" s="6" t="inlineStr">
        <is>
          <t>5% of min(H,W)</t>
        </is>
      </c>
      <c r="E9" s="6" t="inlineStr">
        <is>
          <t>5% of min(H,W)</t>
        </is>
      </c>
      <c r="F9" s="6" t="n"/>
    </row>
    <row r="10" ht="15" customHeight="1" s="1">
      <c r="A10" s="5" t="inlineStr">
        <is>
          <t>Butterworth order n</t>
        </is>
      </c>
      <c r="B10" s="5" t="inlineStr">
        <is>
          <t>Fourier</t>
        </is>
      </c>
      <c r="C10" s="5" t="inlineStr">
        <is>
          <t>1, 2</t>
        </is>
      </c>
      <c r="D10" s="6" t="inlineStr">
        <is>
          <t>Butterworth n=2</t>
        </is>
      </c>
      <c r="E10" s="6" t="inlineStr">
        <is>
          <t>Butterworth n=2</t>
        </is>
      </c>
      <c r="F10" s="6" t="n"/>
    </row>
    <row r="11" ht="15" customHeight="1" s="1">
      <c r="A11" s="5" t="inlineStr">
        <is>
          <t>HFE a / b</t>
        </is>
      </c>
      <c r="B11" s="5" t="inlineStr">
        <is>
          <t>Fourier</t>
        </is>
      </c>
      <c r="C11" s="5" t="inlineStr">
        <is>
          <t>a 0.5-1.0, b 1.0-2.0</t>
        </is>
      </c>
      <c r="D11" s="6" t="inlineStr">
        <is>
          <t>a=0.8, b=1.5</t>
        </is>
      </c>
      <c r="E11" s="6" t="inlineStr">
        <is>
          <t>a=0.8, b=1.5</t>
        </is>
      </c>
      <c r="F11" s="6" t="n"/>
    </row>
    <row r="12" ht="15" customHeight="1" s="1">
      <c r="A12" s="5" t="inlineStr">
        <is>
          <t>Homomorphic gamma_L / gamma_H</t>
        </is>
      </c>
      <c r="B12" s="5" t="inlineStr">
        <is>
          <t>Hybrid 1</t>
        </is>
      </c>
      <c r="C12" s="5" t="inlineStr">
        <is>
          <t>0.5-0.9 / 1.2-2.0</t>
        </is>
      </c>
      <c r="D12" s="6" t="inlineStr">
        <is>
          <t>gL 0.6 / gH 1.4 (eps 0.1)</t>
        </is>
      </c>
      <c r="E12" s="6" t="inlineStr">
        <is>
          <t>gL 0.6 / gH 1.4 (eps 0.3)</t>
        </is>
      </c>
      <c r="F12" s="6" t="n"/>
    </row>
    <row r="13" ht="15" customHeight="1" s="1">
      <c r="A13" s="5" t="inlineStr">
        <is>
          <t>Blend alpha</t>
        </is>
      </c>
      <c r="B13" s="5" t="inlineStr">
        <is>
          <t>Hybrid 1</t>
        </is>
      </c>
      <c r="C13" s="5" t="inlineStr">
        <is>
          <t>0.7, 0.8, 0.9</t>
        </is>
      </c>
      <c r="D13" s="6" t="inlineStr">
        <is>
          <t>0.8</t>
        </is>
      </c>
      <c r="E13" s="6" t="inlineStr">
        <is>
          <t>0.8</t>
        </is>
      </c>
      <c r="F13" s="6" t="n"/>
    </row>
    <row r="14" ht="15" customHeight="1" s="1">
      <c r="A14" s="5" t="inlineStr">
        <is>
          <t>Fusion weight w</t>
        </is>
      </c>
      <c r="B14" s="5" t="inlineStr">
        <is>
          <t>Hybrid 2</t>
        </is>
      </c>
      <c r="C14" s="5" t="inlineStr">
        <is>
          <t>0.5, 0.6, 0.7</t>
        </is>
      </c>
      <c r="D14" s="6" t="inlineStr">
        <is>
          <t>0.6</t>
        </is>
      </c>
      <c r="E14" s="6" t="inlineStr">
        <is>
          <t>0.6</t>
        </is>
      </c>
      <c r="F14" s="6" t="n"/>
    </row>
    <row r="15" ht="15" customHeight="1" s="1">
      <c r="F15" t="inlineStr">
        <is>
          <t>Chosen by sweep + visual inspection. Chest also uses Gaussian pre-smoothing (sigma 1.0 spatial, 1.8 hybrid) to dither the coarse intensity quantisation of the palette BMP. Full sweeps: sweeps.csv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zoomScaleNormal="100" workbookViewId="0">
      <selection activeCell="A1" sqref="A1"/>
    </sheetView>
  </sheetViews>
  <sheetFormatPr baseColWidth="8" defaultColWidth="8.6328125" defaultRowHeight="14.5"/>
  <cols>
    <col width="12" customWidth="1" style="1" min="1" max="1"/>
    <col width="28" customWidth="1" style="1" min="2" max="2"/>
    <col width="8" customWidth="1" style="1" min="3" max="17"/>
    <col width="14" customWidth="1" style="1" min="18" max="18"/>
  </cols>
  <sheetData>
    <row r="1" ht="17.25" customHeight="1" s="1">
      <c r="A1" s="2" t="inlineStr">
        <is>
          <t>Runtime Log (ms)</t>
        </is>
      </c>
    </row>
    <row r="2" ht="15" customHeight="1" s="1">
      <c r="A2" s="3" t="inlineStr">
        <is>
          <t>Run each method 15 times, exclude loading/plotting/saving. Median is computed by formula.</t>
        </is>
      </c>
    </row>
    <row r="4" ht="15" customHeight="1" s="1">
      <c r="A4" s="4" t="inlineStr">
        <is>
          <t>Image</t>
        </is>
      </c>
      <c r="B4" s="4" t="inlineStr">
        <is>
          <t>Method</t>
        </is>
      </c>
      <c r="C4" s="4" t="inlineStr">
        <is>
          <t>Run 1</t>
        </is>
      </c>
      <c r="D4" s="4" t="inlineStr">
        <is>
          <t>Run 2</t>
        </is>
      </c>
      <c r="E4" s="4" t="inlineStr">
        <is>
          <t>Run 3</t>
        </is>
      </c>
      <c r="F4" s="4" t="inlineStr">
        <is>
          <t>Run 4</t>
        </is>
      </c>
      <c r="G4" s="4" t="inlineStr">
        <is>
          <t>Run 5</t>
        </is>
      </c>
      <c r="H4" s="4" t="inlineStr">
        <is>
          <t>Run 6</t>
        </is>
      </c>
      <c r="I4" s="4" t="inlineStr">
        <is>
          <t>Run 7</t>
        </is>
      </c>
      <c r="J4" s="4" t="inlineStr">
        <is>
          <t>Run 8</t>
        </is>
      </c>
      <c r="K4" s="4" t="inlineStr">
        <is>
          <t>Run 9</t>
        </is>
      </c>
      <c r="L4" s="4" t="inlineStr">
        <is>
          <t>Run 10</t>
        </is>
      </c>
      <c r="M4" s="4" t="inlineStr">
        <is>
          <t>Run 11</t>
        </is>
      </c>
      <c r="N4" s="4" t="inlineStr">
        <is>
          <t>Run 12</t>
        </is>
      </c>
      <c r="O4" s="4" t="inlineStr">
        <is>
          <t>Run 13</t>
        </is>
      </c>
      <c r="P4" s="4" t="inlineStr">
        <is>
          <t>Run 14</t>
        </is>
      </c>
      <c r="Q4" s="4" t="inlineStr">
        <is>
          <t>Run 15</t>
        </is>
      </c>
      <c r="R4" s="4" t="inlineStr">
        <is>
          <t>Median (ms)</t>
        </is>
      </c>
    </row>
    <row r="5" ht="15" customHeight="1" s="1">
      <c r="A5" s="7" t="inlineStr">
        <is>
          <t>Chest</t>
        </is>
      </c>
      <c r="B5" s="7" t="inlineStr">
        <is>
          <t>Histogram equalization</t>
        </is>
      </c>
      <c r="C5" s="8" t="n">
        <v>1.54</v>
      </c>
      <c r="D5" s="8" t="n">
        <v>2.23</v>
      </c>
      <c r="E5" s="8" t="n">
        <v>1.18</v>
      </c>
      <c r="F5" s="8" t="n">
        <v>1.08</v>
      </c>
      <c r="G5" s="8" t="n">
        <v>1.28</v>
      </c>
      <c r="H5" s="8" t="n">
        <v>1.34</v>
      </c>
      <c r="I5" s="8" t="n">
        <v>1.36</v>
      </c>
      <c r="J5" s="8" t="n">
        <v>1.35</v>
      </c>
      <c r="K5" s="8" t="n">
        <v>1.38</v>
      </c>
      <c r="L5" s="8" t="n">
        <v>1.3</v>
      </c>
      <c r="M5" s="8" t="n">
        <v>1.28</v>
      </c>
      <c r="N5" s="8" t="n">
        <v>1.31</v>
      </c>
      <c r="O5" s="8" t="n">
        <v>1.61</v>
      </c>
      <c r="P5" s="8" t="n">
        <v>1.33</v>
      </c>
      <c r="Q5" s="8" t="n">
        <v>1.27</v>
      </c>
      <c r="R5" s="9">
        <f>IF(COUNT(C5:Q5)=0,"",MEDIAN(C5:Q5))</f>
        <v/>
      </c>
    </row>
    <row r="6" ht="15" customHeight="1" s="1">
      <c r="A6" s="7" t="inlineStr">
        <is>
          <t>Chest</t>
        </is>
      </c>
      <c r="B6" s="7" t="inlineStr">
        <is>
          <t>Spatial (final)</t>
        </is>
      </c>
      <c r="C6" s="8" t="n">
        <v>15.51</v>
      </c>
      <c r="D6" s="8" t="n">
        <v>15.17</v>
      </c>
      <c r="E6" s="8" t="n">
        <v>14.46</v>
      </c>
      <c r="F6" s="8" t="n">
        <v>13.92</v>
      </c>
      <c r="G6" s="8" t="n">
        <v>14.51</v>
      </c>
      <c r="H6" s="8" t="n">
        <v>14.3</v>
      </c>
      <c r="I6" s="8" t="n">
        <v>13.52</v>
      </c>
      <c r="J6" s="8" t="n">
        <v>14.16</v>
      </c>
      <c r="K6" s="8" t="n">
        <v>14.34</v>
      </c>
      <c r="L6" s="8" t="n">
        <v>14</v>
      </c>
      <c r="M6" s="8" t="n">
        <v>14.14</v>
      </c>
      <c r="N6" s="8" t="n">
        <v>14.9</v>
      </c>
      <c r="O6" s="8" t="n">
        <v>14.24</v>
      </c>
      <c r="P6" s="8" t="n">
        <v>14.27</v>
      </c>
      <c r="Q6" s="8" t="n">
        <v>15.31</v>
      </c>
      <c r="R6" s="9">
        <f>IF(COUNT(C6:Q6)=0,"",MEDIAN(C6:Q6))</f>
        <v/>
      </c>
    </row>
    <row r="7" ht="15" customHeight="1" s="1">
      <c r="A7" s="7" t="inlineStr">
        <is>
          <t>Chest</t>
        </is>
      </c>
      <c r="B7" s="7" t="inlineStr">
        <is>
          <t>Gaussian high-pass</t>
        </is>
      </c>
      <c r="C7" s="8" t="n">
        <v>79.33</v>
      </c>
      <c r="D7" s="8" t="n">
        <v>83.8</v>
      </c>
      <c r="E7" s="8" t="n">
        <v>83.44</v>
      </c>
      <c r="F7" s="8" t="n">
        <v>80.63</v>
      </c>
      <c r="G7" s="8" t="n">
        <v>83.53</v>
      </c>
      <c r="H7" s="8" t="n">
        <v>85.36</v>
      </c>
      <c r="I7" s="8" t="n">
        <v>82.76000000000001</v>
      </c>
      <c r="J7" s="8" t="n">
        <v>83.84</v>
      </c>
      <c r="K7" s="8" t="n">
        <v>84.23999999999999</v>
      </c>
      <c r="L7" s="8" t="n">
        <v>83.66</v>
      </c>
      <c r="M7" s="8" t="n">
        <v>84.02</v>
      </c>
      <c r="N7" s="8" t="n">
        <v>86.93000000000001</v>
      </c>
      <c r="O7" s="8" t="n">
        <v>85.42</v>
      </c>
      <c r="P7" s="8" t="n">
        <v>90.56999999999999</v>
      </c>
      <c r="Q7" s="8" t="n">
        <v>86.04000000000001</v>
      </c>
      <c r="R7" s="9">
        <f>IF(COUNT(C7:Q7)=0,"",MEDIAN(C7:Q7))</f>
        <v/>
      </c>
    </row>
    <row r="8" ht="15" customHeight="1" s="1">
      <c r="A8" s="7" t="inlineStr">
        <is>
          <t>Chest</t>
        </is>
      </c>
      <c r="B8" s="7" t="inlineStr">
        <is>
          <t>Fourier HFE (final)</t>
        </is>
      </c>
      <c r="C8" s="8" t="n">
        <v>93.34999999999999</v>
      </c>
      <c r="D8" s="8" t="n">
        <v>88.06999999999999</v>
      </c>
      <c r="E8" s="8" t="n">
        <v>96.58</v>
      </c>
      <c r="F8" s="8" t="n">
        <v>101.91</v>
      </c>
      <c r="G8" s="8" t="n">
        <v>97.27</v>
      </c>
      <c r="H8" s="8" t="n">
        <v>97.42</v>
      </c>
      <c r="I8" s="8" t="n">
        <v>95.54000000000001</v>
      </c>
      <c r="J8" s="8" t="n">
        <v>92.65000000000001</v>
      </c>
      <c r="K8" s="8" t="n">
        <v>95.78</v>
      </c>
      <c r="L8" s="8" t="n">
        <v>96.83</v>
      </c>
      <c r="M8" s="8" t="n">
        <v>96.95999999999999</v>
      </c>
      <c r="N8" s="8" t="n">
        <v>98.29000000000001</v>
      </c>
      <c r="O8" s="8" t="n">
        <v>92.01000000000001</v>
      </c>
      <c r="P8" s="8" t="n">
        <v>92.87</v>
      </c>
      <c r="Q8" s="8" t="n">
        <v>96.15000000000001</v>
      </c>
      <c r="R8" s="9">
        <f>IF(COUNT(C8:Q8)=0,"",MEDIAN(C8:Q8))</f>
        <v/>
      </c>
    </row>
    <row r="9" ht="15" customHeight="1" s="1">
      <c r="A9" s="7" t="inlineStr">
        <is>
          <t>Chest</t>
        </is>
      </c>
      <c r="B9" s="7" t="inlineStr">
        <is>
          <t>Homomorphic</t>
        </is>
      </c>
      <c r="C9" s="8" t="n">
        <v>96.34999999999999</v>
      </c>
      <c r="D9" s="8" t="n">
        <v>84.12</v>
      </c>
      <c r="E9" s="8" t="n">
        <v>85.97</v>
      </c>
      <c r="F9" s="8" t="n">
        <v>84.15000000000001</v>
      </c>
      <c r="G9" s="8" t="n">
        <v>82.91</v>
      </c>
      <c r="H9" s="8" t="n">
        <v>85.22</v>
      </c>
      <c r="I9" s="8" t="n">
        <v>96.95</v>
      </c>
      <c r="J9" s="8" t="n">
        <v>82.72</v>
      </c>
      <c r="K9" s="8" t="n">
        <v>82.08</v>
      </c>
      <c r="L9" s="8" t="n">
        <v>84.97</v>
      </c>
      <c r="M9" s="8" t="n">
        <v>90.95999999999999</v>
      </c>
      <c r="N9" s="8" t="n">
        <v>87.43000000000001</v>
      </c>
      <c r="O9" s="8" t="n">
        <v>86.22</v>
      </c>
      <c r="P9" s="8" t="n">
        <v>86</v>
      </c>
      <c r="Q9" s="8" t="n">
        <v>86.53</v>
      </c>
      <c r="R9" s="9">
        <f>IF(COUNT(C9:Q9)=0,"",MEDIAN(C9:Q9))</f>
        <v/>
      </c>
    </row>
    <row r="10" ht="15" customHeight="1" s="1">
      <c r="A10" s="7" t="inlineStr">
        <is>
          <t>Chest</t>
        </is>
      </c>
      <c r="B10" s="7" t="inlineStr">
        <is>
          <t>Hybrid 1 (sequential)</t>
        </is>
      </c>
      <c r="C10" s="8" t="n">
        <v>104.46</v>
      </c>
      <c r="D10" s="8" t="n">
        <v>106.38</v>
      </c>
      <c r="E10" s="8" t="n">
        <v>104.83</v>
      </c>
      <c r="F10" s="8" t="n">
        <v>105.46</v>
      </c>
      <c r="G10" s="8" t="n">
        <v>106.34</v>
      </c>
      <c r="H10" s="8" t="n">
        <v>104.16</v>
      </c>
      <c r="I10" s="8" t="n">
        <v>104.34</v>
      </c>
      <c r="J10" s="8" t="n">
        <v>108.36</v>
      </c>
      <c r="K10" s="8" t="n">
        <v>108.6</v>
      </c>
      <c r="L10" s="8" t="n">
        <v>109.44</v>
      </c>
      <c r="M10" s="8" t="n">
        <v>109.8</v>
      </c>
      <c r="N10" s="8" t="n">
        <v>109.72</v>
      </c>
      <c r="O10" s="8" t="n">
        <v>110.99</v>
      </c>
      <c r="P10" s="8" t="n">
        <v>107.5</v>
      </c>
      <c r="Q10" s="8" t="n">
        <v>107.17</v>
      </c>
      <c r="R10" s="9">
        <f>IF(COUNT(C10:Q10)=0,"",MEDIAN(C10:Q10))</f>
        <v/>
      </c>
    </row>
    <row r="11" ht="15" customHeight="1" s="1">
      <c r="A11" s="7" t="inlineStr">
        <is>
          <t>Chest</t>
        </is>
      </c>
      <c r="B11" s="7" t="inlineStr">
        <is>
          <t>Hybrid 2 (fusion)</t>
        </is>
      </c>
      <c r="C11" s="8" t="n">
        <v>109.37</v>
      </c>
      <c r="D11" s="8" t="n">
        <v>103.78</v>
      </c>
      <c r="E11" s="8" t="n">
        <v>111.53</v>
      </c>
      <c r="F11" s="8" t="n">
        <v>116.31</v>
      </c>
      <c r="G11" s="8" t="n">
        <v>112.27</v>
      </c>
      <c r="H11" s="8" t="n">
        <v>112.36</v>
      </c>
      <c r="I11" s="8" t="n">
        <v>109.62</v>
      </c>
      <c r="J11" s="8" t="n">
        <v>107.36</v>
      </c>
      <c r="K11" s="8" t="n">
        <v>110.73</v>
      </c>
      <c r="L11" s="8" t="n">
        <v>111.41</v>
      </c>
      <c r="M11" s="8" t="n">
        <v>111.63</v>
      </c>
      <c r="N11" s="8" t="n">
        <v>113.74</v>
      </c>
      <c r="O11" s="8" t="n">
        <v>106.82</v>
      </c>
      <c r="P11" s="8" t="n">
        <v>107.69</v>
      </c>
      <c r="Q11" s="8" t="n">
        <v>112.04</v>
      </c>
      <c r="R11" s="9">
        <f>IF(COUNT(C11:Q11)=0,"",MEDIAN(C11:Q11))</f>
        <v/>
      </c>
    </row>
    <row r="12" ht="15" customHeight="1" s="1">
      <c r="A12" s="7" t="inlineStr">
        <is>
          <t>Skeleton</t>
        </is>
      </c>
      <c r="B12" s="7" t="inlineStr">
        <is>
          <t>Histogram equalization</t>
        </is>
      </c>
      <c r="C12" s="8" t="n">
        <v>1.55</v>
      </c>
      <c r="D12" s="8" t="n">
        <v>4.17</v>
      </c>
      <c r="E12" s="8" t="n">
        <v>1.54</v>
      </c>
      <c r="F12" s="8" t="n">
        <v>1.46</v>
      </c>
      <c r="G12" s="8" t="n">
        <v>1.46</v>
      </c>
      <c r="H12" s="8" t="n">
        <v>2.39</v>
      </c>
      <c r="I12" s="8" t="n">
        <v>1.5</v>
      </c>
      <c r="J12" s="8" t="n">
        <v>1.47</v>
      </c>
      <c r="K12" s="8" t="n">
        <v>1.48</v>
      </c>
      <c r="L12" s="8" t="n">
        <v>1.48</v>
      </c>
      <c r="M12" s="8" t="n">
        <v>1.48</v>
      </c>
      <c r="N12" s="8" t="n">
        <v>1.52</v>
      </c>
      <c r="O12" s="8" t="n">
        <v>1.31</v>
      </c>
      <c r="P12" s="8" t="n">
        <v>1.31</v>
      </c>
      <c r="Q12" s="8" t="n">
        <v>1.47</v>
      </c>
      <c r="R12" s="9">
        <f>IF(COUNT(C12:Q12)=0,"",MEDIAN(C12:Q12))</f>
        <v/>
      </c>
    </row>
    <row r="13" ht="15" customHeight="1" s="1">
      <c r="A13" s="7" t="inlineStr">
        <is>
          <t>Skeleton</t>
        </is>
      </c>
      <c r="B13" s="7" t="inlineStr">
        <is>
          <t>Spatial (final)</t>
        </is>
      </c>
      <c r="C13" s="8" t="n">
        <v>14.31</v>
      </c>
      <c r="D13" s="8" t="n">
        <v>12.99</v>
      </c>
      <c r="E13" s="8" t="n">
        <v>13.59</v>
      </c>
      <c r="F13" s="8" t="n">
        <v>13.46</v>
      </c>
      <c r="G13" s="8" t="n">
        <v>13.17</v>
      </c>
      <c r="H13" s="8" t="n">
        <v>13.08</v>
      </c>
      <c r="I13" s="8" t="n">
        <v>14.26</v>
      </c>
      <c r="J13" s="8" t="n">
        <v>13.81</v>
      </c>
      <c r="K13" s="8" t="n">
        <v>14.05</v>
      </c>
      <c r="L13" s="8" t="n">
        <v>13.13</v>
      </c>
      <c r="M13" s="8" t="n">
        <v>13.5</v>
      </c>
      <c r="N13" s="8" t="n">
        <v>13.37</v>
      </c>
      <c r="O13" s="8" t="n">
        <v>13.55</v>
      </c>
      <c r="P13" s="8" t="n">
        <v>14.96</v>
      </c>
      <c r="Q13" s="8" t="n">
        <v>15.46</v>
      </c>
      <c r="R13" s="9">
        <f>IF(COUNT(C13:Q13)=0,"",MEDIAN(C13:Q13))</f>
        <v/>
      </c>
    </row>
    <row r="14" ht="15" customHeight="1" s="1">
      <c r="A14" s="7" t="inlineStr">
        <is>
          <t>Skeleton</t>
        </is>
      </c>
      <c r="B14" s="7" t="inlineStr">
        <is>
          <t>Gaussian high-pass</t>
        </is>
      </c>
      <c r="C14" s="8" t="n">
        <v>46.79</v>
      </c>
      <c r="D14" s="8" t="n">
        <v>44.67</v>
      </c>
      <c r="E14" s="8" t="n">
        <v>48.07</v>
      </c>
      <c r="F14" s="8" t="n">
        <v>45.93</v>
      </c>
      <c r="G14" s="8" t="n">
        <v>47.98</v>
      </c>
      <c r="H14" s="8" t="n">
        <v>45.92</v>
      </c>
      <c r="I14" s="8" t="n">
        <v>45.78</v>
      </c>
      <c r="J14" s="8" t="n">
        <v>45.32</v>
      </c>
      <c r="K14" s="8" t="n">
        <v>46.39</v>
      </c>
      <c r="L14" s="8" t="n">
        <v>46.97</v>
      </c>
      <c r="M14" s="8" t="n">
        <v>46.16</v>
      </c>
      <c r="N14" s="8" t="n">
        <v>45.78</v>
      </c>
      <c r="O14" s="8" t="n">
        <v>49</v>
      </c>
      <c r="P14" s="8" t="n">
        <v>46.48</v>
      </c>
      <c r="Q14" s="8" t="n">
        <v>48.67</v>
      </c>
      <c r="R14" s="9">
        <f>IF(COUNT(C14:Q14)=0,"",MEDIAN(C14:Q14))</f>
        <v/>
      </c>
    </row>
    <row r="15" ht="15" customHeight="1" s="1">
      <c r="A15" s="7" t="inlineStr">
        <is>
          <t>Skeleton</t>
        </is>
      </c>
      <c r="B15" s="7" t="inlineStr">
        <is>
          <t>Fourier HFE (final)</t>
        </is>
      </c>
      <c r="C15" s="8" t="n">
        <v>62.65</v>
      </c>
      <c r="D15" s="8" t="n">
        <v>59.17</v>
      </c>
      <c r="E15" s="8" t="n">
        <v>56.38</v>
      </c>
      <c r="F15" s="8" t="n">
        <v>58.43</v>
      </c>
      <c r="G15" s="8" t="n">
        <v>54.05</v>
      </c>
      <c r="H15" s="8" t="n">
        <v>57.17</v>
      </c>
      <c r="I15" s="8" t="n">
        <v>56.3</v>
      </c>
      <c r="J15" s="8" t="n">
        <v>58.69</v>
      </c>
      <c r="K15" s="8" t="n">
        <v>56.74</v>
      </c>
      <c r="L15" s="8" t="n">
        <v>57.63</v>
      </c>
      <c r="M15" s="8" t="n">
        <v>55.43</v>
      </c>
      <c r="N15" s="8" t="n">
        <v>59</v>
      </c>
      <c r="O15" s="8" t="n">
        <v>54.98</v>
      </c>
      <c r="P15" s="8" t="n">
        <v>58.6</v>
      </c>
      <c r="Q15" s="8" t="n">
        <v>56.4</v>
      </c>
      <c r="R15" s="9">
        <f>IF(COUNT(C15:Q15)=0,"",MEDIAN(C15:Q15))</f>
        <v/>
      </c>
    </row>
    <row r="16" ht="15" customHeight="1" s="1">
      <c r="A16" s="7" t="inlineStr">
        <is>
          <t>Skeleton</t>
        </is>
      </c>
      <c r="B16" s="7" t="inlineStr">
        <is>
          <t>Homomorphic</t>
        </is>
      </c>
      <c r="C16" s="8" t="n">
        <v>52.57</v>
      </c>
      <c r="D16" s="8" t="n">
        <v>51.68</v>
      </c>
      <c r="E16" s="8" t="n">
        <v>52.9</v>
      </c>
      <c r="F16" s="8" t="n">
        <v>52.29</v>
      </c>
      <c r="G16" s="8" t="n">
        <v>53.43</v>
      </c>
      <c r="H16" s="8" t="n">
        <v>52.49</v>
      </c>
      <c r="I16" s="8" t="n">
        <v>52.91</v>
      </c>
      <c r="J16" s="8" t="n">
        <v>52.26</v>
      </c>
      <c r="K16" s="8" t="n">
        <v>52.52</v>
      </c>
      <c r="L16" s="8" t="n">
        <v>52.47</v>
      </c>
      <c r="M16" s="8" t="n">
        <v>50.74</v>
      </c>
      <c r="N16" s="8" t="n">
        <v>53.48</v>
      </c>
      <c r="O16" s="8" t="n">
        <v>53.56</v>
      </c>
      <c r="P16" s="8" t="n">
        <v>55.69</v>
      </c>
      <c r="Q16" s="8" t="n">
        <v>51.41</v>
      </c>
      <c r="R16" s="9">
        <f>IF(COUNT(C16:Q16)=0,"",MEDIAN(C16:Q16))</f>
        <v/>
      </c>
    </row>
    <row r="17" ht="15" customHeight="1" s="1">
      <c r="A17" s="7" t="inlineStr">
        <is>
          <t>Skeleton</t>
        </is>
      </c>
      <c r="B17" s="7" t="inlineStr">
        <is>
          <t>Hybrid 1 (sequential)</t>
        </is>
      </c>
      <c r="C17" s="8" t="n">
        <v>66.98999999999999</v>
      </c>
      <c r="D17" s="8" t="n">
        <v>71.33</v>
      </c>
      <c r="E17" s="8" t="n">
        <v>77.06999999999999</v>
      </c>
      <c r="F17" s="8" t="n">
        <v>76.47</v>
      </c>
      <c r="G17" s="8" t="n">
        <v>74.06999999999999</v>
      </c>
      <c r="H17" s="8" t="n">
        <v>74.92</v>
      </c>
      <c r="I17" s="8" t="n">
        <v>78.94</v>
      </c>
      <c r="J17" s="8" t="n">
        <v>76.48999999999999</v>
      </c>
      <c r="K17" s="8" t="n">
        <v>76.86</v>
      </c>
      <c r="L17" s="8" t="n">
        <v>76.2</v>
      </c>
      <c r="M17" s="8" t="n">
        <v>74.93000000000001</v>
      </c>
      <c r="N17" s="8" t="n">
        <v>74.63</v>
      </c>
      <c r="O17" s="8" t="n">
        <v>73.01000000000001</v>
      </c>
      <c r="P17" s="8" t="n">
        <v>72.19</v>
      </c>
      <c r="Q17" s="8" t="n">
        <v>71.91</v>
      </c>
      <c r="R17" s="9">
        <f>IF(COUNT(C17:Q17)=0,"",MEDIAN(C17:Q17))</f>
        <v/>
      </c>
    </row>
    <row r="18" ht="15" customHeight="1" s="1">
      <c r="A18" s="7" t="inlineStr">
        <is>
          <t>Skeleton</t>
        </is>
      </c>
      <c r="B18" s="7" t="inlineStr">
        <is>
          <t>Hybrid 2 (fusion)</t>
        </is>
      </c>
      <c r="C18" s="8" t="n">
        <v>77.45</v>
      </c>
      <c r="D18" s="8" t="n">
        <v>72.73</v>
      </c>
      <c r="E18" s="8" t="n">
        <v>70.55</v>
      </c>
      <c r="F18" s="8" t="n">
        <v>72.42</v>
      </c>
      <c r="G18" s="8" t="n">
        <v>67.69</v>
      </c>
      <c r="H18" s="8" t="n">
        <v>70.75</v>
      </c>
      <c r="I18" s="8" t="n">
        <v>71.09999999999999</v>
      </c>
      <c r="J18" s="8" t="n">
        <v>72.95</v>
      </c>
      <c r="K18" s="8" t="n">
        <v>71.26000000000001</v>
      </c>
      <c r="L18" s="8" t="n">
        <v>71.22</v>
      </c>
      <c r="M18" s="8" t="n">
        <v>69.39</v>
      </c>
      <c r="N18" s="8" t="n">
        <v>72.83</v>
      </c>
      <c r="O18" s="8" t="n">
        <v>68.98</v>
      </c>
      <c r="P18" s="8" t="n">
        <v>74.02</v>
      </c>
      <c r="Q18" s="8" t="n">
        <v>72.31999999999999</v>
      </c>
      <c r="R18" s="9">
        <f>IF(COUNT(C18:Q18)=0,"",MEDIAN(C18:Q18))</f>
        <v/>
      </c>
    </row>
    <row r="20" ht="15" customHeight="1" s="1">
      <c r="A20" s="10" t="inlineStr">
        <is>
          <t>Median of 15 runs after warm-up (main.py), measured on the BMP inputs. Hybrid 2 = END-TO-END cost incl. producing both inputs, taken as the median of the per-run totals; fusion step alone: Chest 0.545 ms, Skeleton 0.465 ms. Absolute timings are hardware/library dependent; the ordering is the meaningful result.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ColWidth="8.6328125" defaultRowHeight="14.5"/>
  <cols>
    <col width="11" customWidth="1" style="1" min="1" max="1"/>
    <col width="26" customWidth="1" style="1" min="2" max="2"/>
    <col width="10" customWidth="1" style="1" min="3" max="3"/>
    <col width="14" customWidth="1" style="1" min="4" max="4"/>
    <col width="10" customWidth="1" style="1" min="5" max="5"/>
    <col width="12" customWidth="1" style="1" min="6" max="6"/>
    <col width="16" customWidth="1" style="1" min="7" max="7"/>
    <col width="13" customWidth="1" style="1" min="8" max="8"/>
    <col width="16" customWidth="1" style="1" min="9" max="11"/>
    <col width="62" customWidth="1" style="1" min="12" max="12"/>
    <col width="14" customWidth="1" style="1" min="13" max="14"/>
  </cols>
  <sheetData>
    <row r="1" ht="17.25" customHeight="1" s="1">
      <c r="A1" s="2" t="inlineStr">
        <is>
          <t>Metrics Comparison</t>
        </is>
      </c>
    </row>
    <row r="2" ht="15" customHeight="1" s="1">
      <c r="A2" s="3" t="inlineStr">
        <is>
          <t>Blue cells = values from compute_metrics(). Runtime pulls from Runtime sheet. % changes are formulas vs the Original row of the same image.</t>
        </is>
      </c>
    </row>
    <row r="4" ht="23.25" customHeight="1" s="1">
      <c r="A4" s="4" t="inlineStr">
        <is>
          <t>Image</t>
        </is>
      </c>
      <c r="B4" s="4" t="inlineStr">
        <is>
          <t>Method</t>
        </is>
      </c>
      <c r="C4" s="4" t="inlineStr">
        <is>
          <t>Mean</t>
        </is>
      </c>
      <c r="D4" s="4" t="inlineStr">
        <is>
          <t>Std dev (contrast)</t>
        </is>
      </c>
      <c r="E4" s="4" t="inlineStr">
        <is>
          <t>Entropy</t>
        </is>
      </c>
      <c r="F4" s="4" t="inlineStr">
        <is>
          <t>Avg gradient</t>
        </is>
      </c>
      <c r="G4" s="4" t="inlineStr">
        <is>
          <t>Tenengrad (Sobel)</t>
        </is>
      </c>
      <c r="H4" s="4" t="inlineStr">
        <is>
          <t>Runtime (ms)</t>
        </is>
      </c>
      <c r="I4" s="4" t="inlineStr">
        <is>
          <t>Contrast change vs original</t>
        </is>
      </c>
      <c r="J4" s="4" t="inlineStr">
        <is>
          <t>Entropy change vs original</t>
        </is>
      </c>
      <c r="K4" s="4" t="inlineStr">
        <is>
          <t>Edge change vs original</t>
        </is>
      </c>
      <c r="L4" s="4" t="inlineStr">
        <is>
          <t>Visual notes (noise / halo / ringing / saturation)</t>
        </is>
      </c>
      <c r="M4" s="4" t="inlineStr">
        <is>
          <t>Noise sigma (Immerkaer)</t>
        </is>
      </c>
      <c r="N4" s="4" t="inlineStr">
        <is>
          <t>Edge density (Canny)</t>
        </is>
      </c>
    </row>
    <row r="5" ht="15" customHeight="1" s="1">
      <c r="A5" s="7" t="inlineStr">
        <is>
          <t>Chest</t>
        </is>
      </c>
      <c r="B5" s="7" t="inlineStr">
        <is>
          <t>Original</t>
        </is>
      </c>
      <c r="C5" s="11" t="n">
        <v>0.2329</v>
      </c>
      <c r="D5" s="11" t="n">
        <v>0.2197</v>
      </c>
      <c r="E5" s="11" t="n">
        <v>6.8044</v>
      </c>
      <c r="F5" s="11" t="n">
        <v>0.0041</v>
      </c>
      <c r="G5" s="11" t="n">
        <v>0.0452</v>
      </c>
      <c r="H5" s="12" t="inlineStr">
        <is>
          <t>n/a</t>
        </is>
      </c>
      <c r="I5" s="7" t="inlineStr">
        <is>
          <t>n/a</t>
        </is>
      </c>
      <c r="J5" s="7" t="inlineStr">
        <is>
          <t>n/a</t>
        </is>
      </c>
      <c r="K5" s="7" t="inlineStr">
        <is>
          <t>n/a</t>
        </is>
      </c>
      <c r="L5" s="13" t="n"/>
      <c r="M5" s="14" t="n">
        <v>0.0005999999999999999</v>
      </c>
      <c r="N5" s="14" t="n">
        <v>0.0005</v>
      </c>
    </row>
    <row r="6" ht="15" customHeight="1" s="1">
      <c r="A6" s="7" t="inlineStr">
        <is>
          <t>Chest</t>
        </is>
      </c>
      <c r="B6" s="7" t="inlineStr">
        <is>
          <t>Histogram equalization</t>
        </is>
      </c>
      <c r="C6" s="11" t="n">
        <v>0.5089</v>
      </c>
      <c r="D6" s="11" t="n">
        <v>0.2803</v>
      </c>
      <c r="E6" s="11" t="n">
        <v>6.59</v>
      </c>
      <c r="F6" s="11" t="n">
        <v>0.0076</v>
      </c>
      <c r="G6" s="11" t="n">
        <v>0.0833</v>
      </c>
      <c r="H6" s="15">
        <f>Runtime!R5</f>
        <v/>
      </c>
      <c r="I6" s="16">
        <f>IF(OR(D6="",D$5=""),"",D6/D$5-1)</f>
        <v/>
      </c>
      <c r="J6" s="16">
        <f>IF(OR(E6="",E$5=""),"",E6/E$5-1)</f>
        <v/>
      </c>
      <c r="K6" s="16">
        <f>IF(OR(G6="",G$5=""),"",G6/G$5-1)</f>
        <v/>
      </c>
      <c r="L6" s="13" t="inlineStr">
        <is>
          <t>Fastest; over-brightens, exposes posterisation of the coarsely quantised dark lung field</t>
        </is>
      </c>
      <c r="M6" s="14" t="n">
        <v>0.0015</v>
      </c>
      <c r="N6" s="14" t="n">
        <v>0.0313</v>
      </c>
    </row>
    <row r="7" ht="15" customHeight="1" s="1">
      <c r="A7" s="7" t="inlineStr">
        <is>
          <t>Chest</t>
        </is>
      </c>
      <c r="B7" s="7" t="inlineStr">
        <is>
          <t>Spatial (final)</t>
        </is>
      </c>
      <c r="C7" s="11" t="n">
        <v>0.3563</v>
      </c>
      <c r="D7" s="11" t="n">
        <v>0.2898</v>
      </c>
      <c r="E7" s="11" t="n">
        <v>7.6901</v>
      </c>
      <c r="F7" s="11" t="n">
        <v>0.0073</v>
      </c>
      <c r="G7" s="11" t="n">
        <v>0.0808</v>
      </c>
      <c r="H7" s="15">
        <f>Runtime!R6</f>
        <v/>
      </c>
      <c r="I7" s="16">
        <f>IF(OR(D7="",D$5=""),"",D7/D$5-1)</f>
        <v/>
      </c>
      <c r="J7" s="16">
        <f>IF(OR(E7="",E$5=""),"",E7/E$5-1)</f>
        <v/>
      </c>
      <c r="K7" s="16">
        <f>IF(OR(G7="",G$5=""),"",G7/G$5-1)</f>
        <v/>
      </c>
      <c r="L7" s="13" t="inlineStr">
        <is>
          <t>Natural, clean; ribs/vessels clearer; light pre-blur dithers the 219-level palette quantisation</t>
        </is>
      </c>
      <c r="M7" s="14" t="n">
        <v>0.0017</v>
      </c>
      <c r="N7" s="14" t="n">
        <v>0.0063</v>
      </c>
    </row>
    <row r="8" ht="23.25" customHeight="1" s="1">
      <c r="A8" s="7" t="inlineStr">
        <is>
          <t>Chest</t>
        </is>
      </c>
      <c r="B8" s="7" t="inlineStr">
        <is>
          <t>Gaussian high-pass</t>
        </is>
      </c>
      <c r="C8" s="11" t="n">
        <v>0.4999</v>
      </c>
      <c r="D8" s="11" t="n">
        <v>0.0396</v>
      </c>
      <c r="E8" s="11" t="n">
        <v>5.0785</v>
      </c>
      <c r="F8" s="11" t="n">
        <v>0.0095</v>
      </c>
      <c r="G8" s="11" t="n">
        <v>0.1015</v>
      </c>
      <c r="H8" s="15">
        <f>Runtime!R7</f>
        <v/>
      </c>
      <c r="I8" s="16">
        <f>IF(OR(D8="",D$5=""),"",D8/D$5-1)</f>
        <v/>
      </c>
      <c r="J8" s="16">
        <f>IF(OR(E8="",E$5=""),"",E8/E$5-1)</f>
        <v/>
      </c>
      <c r="K8" s="16">
        <f>IF(OR(G8="",G$5=""),"",G8/G$5-1)</f>
        <v/>
      </c>
      <c r="L8" s="13" t="inlineStr">
        <is>
          <t>Signed zero-centred display: edges only, tissue contrast lost; entropy 5.08 (negative baseline)</t>
        </is>
      </c>
      <c r="M8" s="14" t="n">
        <v>0.0021</v>
      </c>
      <c r="N8" s="14" t="n">
        <v>0.0328</v>
      </c>
    </row>
    <row r="9" ht="23.25" customHeight="1" s="1">
      <c r="A9" s="7" t="inlineStr">
        <is>
          <t>Chest</t>
        </is>
      </c>
      <c r="B9" s="7" t="inlineStr">
        <is>
          <t>Fourier HFE (final)</t>
        </is>
      </c>
      <c r="C9" s="11" t="n">
        <v>0.3461</v>
      </c>
      <c r="D9" s="11" t="n">
        <v>0.2239</v>
      </c>
      <c r="E9" s="11" t="n">
        <v>6.9564</v>
      </c>
      <c r="F9" s="11" t="n">
        <v>0.008399999999999999</v>
      </c>
      <c r="G9" s="11" t="n">
        <v>0.09089999999999999</v>
      </c>
      <c r="H9" s="15">
        <f>Runtime!R8</f>
        <v/>
      </c>
      <c r="I9" s="16">
        <f>IF(OR(D9="",D$5=""),"",D9/D$5-1)</f>
        <v/>
      </c>
      <c r="J9" s="16">
        <f>IF(OR(E9="",E$5=""),"",E9/E$5-1)</f>
        <v/>
      </c>
      <c r="K9" s="16">
        <f>IF(OR(G9="",G$5=""),"",G9/G$5-1)</f>
        <v/>
      </c>
      <c r="L9" s="13" t="inlineStr">
        <is>
          <t>Pure Fourier + min-max scaling: ribs sharper, modest gain only; linear filter cannot lift dark lungs</t>
        </is>
      </c>
      <c r="M9" s="14" t="n">
        <v>0.0016</v>
      </c>
      <c r="N9" s="14" t="n">
        <v>0.0214</v>
      </c>
    </row>
    <row r="10" ht="15" customHeight="1" s="1">
      <c r="A10" s="7" t="inlineStr">
        <is>
          <t>Chest</t>
        </is>
      </c>
      <c r="B10" s="7" t="inlineStr">
        <is>
          <t>Homomorphic</t>
        </is>
      </c>
      <c r="C10" s="11" t="n">
        <v>0.4115</v>
      </c>
      <c r="D10" s="11" t="n">
        <v>0.164</v>
      </c>
      <c r="E10" s="11" t="n">
        <v>6.883</v>
      </c>
      <c r="F10" s="11" t="n">
        <v>0.01</v>
      </c>
      <c r="G10" s="11" t="n">
        <v>0.1079</v>
      </c>
      <c r="H10" s="15">
        <f>Runtime!R9</f>
        <v/>
      </c>
      <c r="I10" s="16">
        <f>IF(OR(D10="",D$5=""),"",D10/D$5-1)</f>
        <v/>
      </c>
      <c r="J10" s="16">
        <f>IF(OR(E10="",E$5=""),"",E10/E$5-1)</f>
        <v/>
      </c>
      <c r="K10" s="16">
        <f>IF(OR(G10="",G$5=""),"",G10/G$5-1)</f>
        <v/>
      </c>
      <c r="L10" s="13" t="inlineStr">
        <is>
          <t>Classical exp output; flatter illumination, lower contrast, noise x3 vs original</t>
        </is>
      </c>
      <c r="M10" s="14" t="n">
        <v>0.0019</v>
      </c>
      <c r="N10" s="14" t="n">
        <v>0.0278</v>
      </c>
    </row>
    <row r="11" ht="23.25" customHeight="1" s="1">
      <c r="A11" s="7" t="inlineStr">
        <is>
          <t>Chest</t>
        </is>
      </c>
      <c r="B11" s="7" t="inlineStr">
        <is>
          <t>Hybrid 1 (sequential)</t>
        </is>
      </c>
      <c r="C11" s="11" t="n">
        <v>0.4079</v>
      </c>
      <c r="D11" s="11" t="n">
        <v>0.2994</v>
      </c>
      <c r="E11" s="11" t="n">
        <v>7.8229</v>
      </c>
      <c r="F11" s="11" t="n">
        <v>0.0092</v>
      </c>
      <c r="G11" s="11" t="n">
        <v>0.1032</v>
      </c>
      <c r="H11" s="15">
        <f>Runtime!R10</f>
        <v/>
      </c>
      <c r="I11" s="16">
        <f>IF(OR(D11="",D$5=""),"",D11/D$5-1)</f>
        <v/>
      </c>
      <c r="J11" s="16">
        <f>IF(OR(E11="",E$5=""),"",E11/E$5-1)</f>
        <v/>
      </c>
      <c r="K11" s="16">
        <f>IF(OR(G11="",G$5=""),"",G11/G$5-1)</f>
        <v/>
      </c>
      <c r="L11" s="13" t="inlineStr">
        <is>
          <t>Best overall: highest entropy and contrast, noise below spatial; faint residual banding in lungs</t>
        </is>
      </c>
      <c r="M11" s="14" t="n">
        <v>0.0014</v>
      </c>
      <c r="N11" s="14" t="n">
        <v>0.0153</v>
      </c>
    </row>
    <row r="12" ht="15" customHeight="1" s="1">
      <c r="A12" s="7" t="inlineStr">
        <is>
          <t>Chest</t>
        </is>
      </c>
      <c r="B12" s="7" t="inlineStr">
        <is>
          <t>Hybrid 2 (fusion)</t>
        </is>
      </c>
      <c r="C12" s="11" t="n">
        <v>0.3523</v>
      </c>
      <c r="D12" s="11" t="n">
        <v>0.2608</v>
      </c>
      <c r="E12" s="11" t="n">
        <v>7.4725</v>
      </c>
      <c r="F12" s="11" t="n">
        <v>0.0073</v>
      </c>
      <c r="G12" s="11" t="n">
        <v>0.0806</v>
      </c>
      <c r="H12" s="15">
        <f>Runtime!R11</f>
        <v/>
      </c>
      <c r="I12" s="16">
        <f>IF(OR(D12="",D$5=""),"",D12/D$5-1)</f>
        <v/>
      </c>
      <c r="J12" s="16">
        <f>IF(OR(E12="",E$5=""),"",E12/E$5-1)</f>
        <v/>
      </c>
      <c r="K12" s="16">
        <f>IF(OR(G12="",G$5=""),"",G12/G$5-1)</f>
        <v/>
      </c>
      <c r="L12" s="13" t="inlineStr">
        <is>
          <t>Smooth and natural; slightly less detail than Hybrid 1</t>
        </is>
      </c>
      <c r="M12" s="14" t="n">
        <v>0.0013</v>
      </c>
      <c r="N12" s="14" t="n">
        <v>0.0094</v>
      </c>
    </row>
    <row r="14" ht="15" customHeight="1" s="1">
      <c r="A14" s="7" t="inlineStr">
        <is>
          <t>Skeleton</t>
        </is>
      </c>
      <c r="B14" s="7" t="inlineStr">
        <is>
          <t>Original</t>
        </is>
      </c>
      <c r="C14" s="11" t="n">
        <v>0.08119999999999999</v>
      </c>
      <c r="D14" s="11" t="n">
        <v>0.1092</v>
      </c>
      <c r="E14" s="11" t="n">
        <v>5.1092</v>
      </c>
      <c r="F14" s="11" t="n">
        <v>0.0039</v>
      </c>
      <c r="G14" s="11" t="n">
        <v>0.041</v>
      </c>
      <c r="H14" s="12" t="inlineStr">
        <is>
          <t>n/a</t>
        </is>
      </c>
      <c r="I14" s="7" t="inlineStr">
        <is>
          <t>n/a</t>
        </is>
      </c>
      <c r="J14" s="7" t="inlineStr">
        <is>
          <t>n/a</t>
        </is>
      </c>
      <c r="K14" s="7" t="inlineStr">
        <is>
          <t>n/a</t>
        </is>
      </c>
      <c r="L14" s="13" t="n"/>
      <c r="M14" s="14" t="n">
        <v>0.0008</v>
      </c>
      <c r="N14" s="14" t="n">
        <v>0.003</v>
      </c>
    </row>
    <row r="15" ht="15" customHeight="1" s="1">
      <c r="A15" s="7" t="inlineStr">
        <is>
          <t>Skeleton</t>
        </is>
      </c>
      <c r="B15" s="7" t="inlineStr">
        <is>
          <t>Histogram equalization</t>
        </is>
      </c>
      <c r="C15" s="11" t="n">
        <v>0.5442</v>
      </c>
      <c r="D15" s="11" t="n">
        <v>0.2385</v>
      </c>
      <c r="E15" s="11" t="n">
        <v>4.9495</v>
      </c>
      <c r="F15" s="11" t="n">
        <v>0.0125</v>
      </c>
      <c r="G15" s="11" t="n">
        <v>0.1257</v>
      </c>
      <c r="H15" s="15">
        <f>Runtime!R12</f>
        <v/>
      </c>
      <c r="I15" s="16">
        <f>IF(OR(D15="",D$14=""),"",D15/D$14-1)</f>
        <v/>
      </c>
      <c r="J15" s="16">
        <f>IF(OR(E15="",E$14=""),"",E15/E$14-1)</f>
        <v/>
      </c>
      <c r="K15" s="16">
        <f>IF(OR(G15="",G$14=""),"",G15/G$14-1)</f>
        <v/>
      </c>
      <c r="L15" s="13" t="inlineStr">
        <is>
          <t>Background lifted to grey, hot spots saturate, contouring at body edge</t>
        </is>
      </c>
      <c r="M15" s="14" t="n">
        <v>0.0037</v>
      </c>
      <c r="N15" s="14" t="n">
        <v>0.0575</v>
      </c>
    </row>
    <row r="16" ht="23.25" customHeight="1" s="1">
      <c r="A16" s="7" t="inlineStr">
        <is>
          <t>Skeleton</t>
        </is>
      </c>
      <c r="B16" s="7" t="inlineStr">
        <is>
          <t>Spatial (final)</t>
        </is>
      </c>
      <c r="C16" s="11" t="n">
        <v>0.255</v>
      </c>
      <c r="D16" s="11" t="n">
        <v>0.2067</v>
      </c>
      <c r="E16" s="11" t="n">
        <v>6.4947</v>
      </c>
      <c r="F16" s="11" t="n">
        <v>0.009900000000000001</v>
      </c>
      <c r="G16" s="11" t="n">
        <v>0.1027</v>
      </c>
      <c r="H16" s="15">
        <f>Runtime!R13</f>
        <v/>
      </c>
      <c r="I16" s="16">
        <f>IF(OR(D16="",D$14=""),"",D16/D$14-1)</f>
        <v/>
      </c>
      <c r="J16" s="16">
        <f>IF(OR(E16="",E$14=""),"",E16/E$14-1)</f>
        <v/>
      </c>
      <c r="K16" s="16">
        <f>IF(OR(G16="",G$14=""),"",G16/G$14-1)</f>
        <v/>
      </c>
      <c r="L16" s="13" t="inlineStr">
        <is>
          <t>Best natural look: organs, spine, pelvis visible, dark background, highest std among final methods</t>
        </is>
      </c>
      <c r="M16" s="14" t="n">
        <v>0.0015</v>
      </c>
      <c r="N16" s="14" t="n">
        <v>0.0241</v>
      </c>
    </row>
    <row r="17" ht="15" customHeight="1" s="1">
      <c r="A17" s="7" t="inlineStr">
        <is>
          <t>Skeleton</t>
        </is>
      </c>
      <c r="B17" s="7" t="inlineStr">
        <is>
          <t>Gaussian high-pass</t>
        </is>
      </c>
      <c r="C17" s="11" t="n">
        <v>0.5002</v>
      </c>
      <c r="D17" s="11" t="n">
        <v>0.029</v>
      </c>
      <c r="E17" s="11" t="n">
        <v>3.9829</v>
      </c>
      <c r="F17" s="11" t="n">
        <v>0.0053</v>
      </c>
      <c r="G17" s="11" t="n">
        <v>0.0536</v>
      </c>
      <c r="H17" s="15">
        <f>Runtime!R14</f>
        <v/>
      </c>
      <c r="I17" s="16">
        <f>IF(OR(D17="",D$14=""),"",D17/D$14-1)</f>
        <v/>
      </c>
      <c r="J17" s="16">
        <f>IF(OR(E17="",E$14=""),"",E17/E$14-1)</f>
        <v/>
      </c>
      <c r="K17" s="16">
        <f>IF(OR(G17="",G$14=""),"",G17/G$14-1)</f>
        <v/>
      </c>
      <c r="L17" s="13" t="inlineStr">
        <is>
          <t>Grey edge map, entropy 3.98; not usable</t>
        </is>
      </c>
      <c r="M17" s="14" t="n">
        <v>0.0015</v>
      </c>
      <c r="N17" s="14" t="n">
        <v>0.0112</v>
      </c>
    </row>
    <row r="18" ht="23.25" customHeight="1" s="1">
      <c r="A18" s="7" t="inlineStr">
        <is>
          <t>Skeleton</t>
        </is>
      </c>
      <c r="B18" s="7" t="inlineStr">
        <is>
          <t>Fourier HFE (final)</t>
        </is>
      </c>
      <c r="C18" s="11" t="n">
        <v>0.1348</v>
      </c>
      <c r="D18" s="11" t="n">
        <v>0.0769</v>
      </c>
      <c r="E18" s="11" t="n">
        <v>4.9053</v>
      </c>
      <c r="F18" s="11" t="n">
        <v>0.0056</v>
      </c>
      <c r="G18" s="11" t="n">
        <v>0.058</v>
      </c>
      <c r="H18" s="15">
        <f>Runtime!R15</f>
        <v/>
      </c>
      <c r="I18" s="16">
        <f>IF(OR(D18="",D$14=""),"",D18/D$14-1)</f>
        <v/>
      </c>
      <c r="J18" s="16">
        <f>IF(OR(E18="",E$14=""),"",E18/E$14-1)</f>
        <v/>
      </c>
      <c r="K18" s="16">
        <f>IF(OR(G18="",G$14=""),"",G18/G$14-1)</f>
        <v/>
      </c>
      <c r="L18" s="13" t="inlineStr">
        <is>
          <t>Pure Fourier + min-max: sharper spine/pelvis edges but stays dim; no ringing after border removal</t>
        </is>
      </c>
      <c r="M18" s="14" t="n">
        <v>0.0014</v>
      </c>
      <c r="N18" s="14" t="n">
        <v>0.0113</v>
      </c>
    </row>
    <row r="19" ht="15" customHeight="1" s="1">
      <c r="A19" s="7" t="inlineStr">
        <is>
          <t>Skeleton</t>
        </is>
      </c>
      <c r="B19" s="7" t="inlineStr">
        <is>
          <t>Homomorphic</t>
        </is>
      </c>
      <c r="C19" s="11" t="n">
        <v>0.1176</v>
      </c>
      <c r="D19" s="11" t="n">
        <v>0.0679</v>
      </c>
      <c r="E19" s="11" t="n">
        <v>5.0183</v>
      </c>
      <c r="F19" s="11" t="n">
        <v>0.0068</v>
      </c>
      <c r="G19" s="11" t="n">
        <v>0.068</v>
      </c>
      <c r="H19" s="15">
        <f>Runtime!R16</f>
        <v/>
      </c>
      <c r="I19" s="16">
        <f>IF(OR(D19="",D$14=""),"",D19/D$14-1)</f>
        <v/>
      </c>
      <c r="J19" s="16">
        <f>IF(OR(E19="",E$14=""),"",E19/E$14-1)</f>
        <v/>
      </c>
      <c r="K19" s="16">
        <f>IF(OR(G19="",G$14=""),"",G19/G$14-1)</f>
        <v/>
      </c>
      <c r="L19" s="13" t="inlineStr">
        <is>
          <t>Classical exp output: dim, heavy-tailed due to hot spots</t>
        </is>
      </c>
      <c r="M19" s="14" t="n">
        <v>0.0016</v>
      </c>
      <c r="N19" s="14" t="n">
        <v>0.0105</v>
      </c>
    </row>
    <row r="20" ht="23.25" customHeight="1" s="1">
      <c r="A20" s="7" t="inlineStr">
        <is>
          <t>Skeleton</t>
        </is>
      </c>
      <c r="B20" s="7" t="inlineStr">
        <is>
          <t>Hybrid 1 (sequential)</t>
        </is>
      </c>
      <c r="C20" s="11" t="n">
        <v>0.3061</v>
      </c>
      <c r="D20" s="11" t="n">
        <v>0.208</v>
      </c>
      <c r="E20" s="11" t="n">
        <v>6.9377</v>
      </c>
      <c r="F20" s="11" t="n">
        <v>0.0159</v>
      </c>
      <c r="G20" s="11" t="n">
        <v>0.1679</v>
      </c>
      <c r="H20" s="15">
        <f>Runtime!R17</f>
        <v/>
      </c>
      <c r="I20" s="16">
        <f>IF(OR(D20="",D$14=""),"",D20/D$14-1)</f>
        <v/>
      </c>
      <c r="J20" s="16">
        <f>IF(OR(E20="",E$14=""),"",E20/E$14-1)</f>
        <v/>
      </c>
      <c r="K20" s="16">
        <f>IF(OR(G20="",G$14=""),"",G20/G$14-1)</f>
        <v/>
      </c>
      <c r="L20" s="13" t="inlineStr">
        <is>
          <t>Highest edge metrics but edge density 0.0858 (~29x original): over-enhancement; not preferred</t>
        </is>
      </c>
      <c r="M20" s="14" t="n">
        <v>0.0023</v>
      </c>
      <c r="N20" s="14" t="n">
        <v>0.0858</v>
      </c>
    </row>
    <row r="21" ht="15" customHeight="1" s="1">
      <c r="A21" s="7" t="inlineStr">
        <is>
          <t>Skeleton</t>
        </is>
      </c>
      <c r="B21" s="7" t="inlineStr">
        <is>
          <t>Hybrid 2 (fusion)</t>
        </is>
      </c>
      <c r="C21" s="11" t="n">
        <v>0.2069</v>
      </c>
      <c r="D21" s="11" t="n">
        <v>0.1524</v>
      </c>
      <c r="E21" s="11" t="n">
        <v>6.1413</v>
      </c>
      <c r="F21" s="11" t="n">
        <v>0.008</v>
      </c>
      <c r="G21" s="11" t="n">
        <v>0.0828</v>
      </c>
      <c r="H21" s="15">
        <f>Runtime!R18</f>
        <v/>
      </c>
      <c r="I21" s="16">
        <f>IF(OR(D21="",D$14=""),"",D21/D$14-1)</f>
        <v/>
      </c>
      <c r="J21" s="16">
        <f>IF(OR(E21="",E$14=""),"",E21/E$14-1)</f>
        <v/>
      </c>
      <c r="K21" s="16">
        <f>IF(OR(G21="",G$14=""),"",G21/G$14-1)</f>
        <v/>
      </c>
      <c r="L21" s="13" t="inlineStr">
        <is>
          <t>Clean compromise; lowest noise among enhanced outputs (0.0011)</t>
        </is>
      </c>
      <c r="M21" s="14" t="n">
        <v>0.0011</v>
      </c>
      <c r="N21" s="14" t="n">
        <v>0.0166</v>
      </c>
    </row>
    <row r="23" ht="15" customHeight="1" s="1">
      <c r="A23" s="10" t="inlineStr">
        <is>
          <t>Notes: Entropy, gradient and Tenengrad also rise with noise, so use them to shortlist only. PSNR/SSIM against the original measure degree of modification, not enhancement quality. Intensities assumed normalized to [0,1]. All values produced from the official Chest.bmp / Skeleton.bmp inputs.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Normal="100" workbookViewId="0">
      <selection activeCell="A1" sqref="A1"/>
    </sheetView>
  </sheetViews>
  <sheetFormatPr baseColWidth="8" defaultColWidth="8.6328125" defaultRowHeight="14.5"/>
  <cols>
    <col width="32" customWidth="1" style="1" min="1" max="1"/>
    <col width="40" customWidth="1" style="1" min="2" max="2"/>
    <col width="52" customWidth="1" style="1" min="3" max="3"/>
  </cols>
  <sheetData>
    <row r="1" ht="17.25" customHeight="1" s="1">
      <c r="A1" s="2" t="inlineStr">
        <is>
          <t>What Each Metric Means</t>
        </is>
      </c>
    </row>
    <row r="3" ht="15" customHeight="1" s="1">
      <c r="A3" s="4" t="inlineStr">
        <is>
          <t>Measure</t>
        </is>
      </c>
      <c r="B3" s="4" t="inlineStr">
        <is>
          <t>What it indicates</t>
        </is>
      </c>
      <c r="C3" s="4" t="inlineStr">
        <is>
          <t>Important limitation</t>
        </is>
      </c>
    </row>
    <row r="4" ht="15" customHeight="1" s="1">
      <c r="A4" s="5" t="inlineStr">
        <is>
          <t>Mean / std dev</t>
        </is>
      </c>
      <c r="B4" s="5" t="inlineStr">
        <is>
          <t>Brightness and global contrast</t>
        </is>
      </c>
      <c r="C4" s="5" t="inlineStr">
        <is>
          <t>Higher contrast is not always better</t>
        </is>
      </c>
    </row>
    <row r="5" ht="15" customHeight="1" s="1">
      <c r="A5" s="5" t="inlineStr">
        <is>
          <t>RMS contrast</t>
        </is>
      </c>
      <c r="B5" s="5" t="inlineStr">
        <is>
          <t>Overall intensity variation</t>
        </is>
      </c>
      <c r="C5" s="5" t="inlineStr">
        <is>
          <t>Can increase due to noise</t>
        </is>
      </c>
    </row>
    <row r="6" ht="15" customHeight="1" s="1">
      <c r="A6" s="5" t="inlineStr">
        <is>
          <t>Entropy</t>
        </is>
      </c>
      <c r="B6" s="5" t="inlineStr">
        <is>
          <t>Spread of intensity information</t>
        </is>
      </c>
      <c r="C6" s="5" t="inlineStr">
        <is>
          <t>Noise also increases entropy</t>
        </is>
      </c>
    </row>
    <row r="7" ht="15" customHeight="1" s="1">
      <c r="A7" s="5" t="inlineStr">
        <is>
          <t>Average gradient</t>
        </is>
      </c>
      <c r="B7" s="5" t="inlineStr">
        <is>
          <t>Local detail and sharpness</t>
        </is>
      </c>
      <c r="C7" s="5" t="inlineStr">
        <is>
          <t>Can reward noise</t>
        </is>
      </c>
    </row>
    <row r="8" ht="15" customHeight="1" s="1">
      <c r="A8" s="5" t="inlineStr">
        <is>
          <t>Tenengrad / Sobel edge strength</t>
        </is>
      </c>
      <c r="B8" s="5" t="inlineStr">
        <is>
          <t>Edge visibility</t>
        </is>
      </c>
      <c r="C8" s="5" t="inlineStr">
        <is>
          <t>Over-sharpening scores highly</t>
        </is>
      </c>
    </row>
    <row r="9" ht="15" customHeight="1" s="1">
      <c r="A9" s="5" t="inlineStr">
        <is>
          <t>Edge density</t>
        </is>
      </c>
      <c r="B9" s="5" t="inlineStr">
        <is>
          <t>Number of visible edge pixels</t>
        </is>
      </c>
      <c r="C9" s="5" t="inlineStr">
        <is>
          <t>Highly threshold-dependent</t>
        </is>
      </c>
    </row>
    <row r="10" ht="15" customHeight="1" s="1">
      <c r="A10" s="5" t="inlineStr">
        <is>
          <t>Runtime</t>
        </is>
      </c>
      <c r="B10" s="5" t="inlineStr">
        <is>
          <t>Computational efficiency</t>
        </is>
      </c>
      <c r="C10" s="5" t="inlineStr">
        <is>
          <t>Depends on implementation and hardware</t>
        </is>
      </c>
    </row>
    <row r="11" ht="15" customHeight="1" s="1">
      <c r="A11" s="5" t="inlineStr">
        <is>
          <t>PSNR / SSIM vs original</t>
        </is>
      </c>
      <c r="B11" s="5" t="inlineStr">
        <is>
          <t>Degree of modification only</t>
        </is>
      </c>
      <c r="C11" s="5" t="inlineStr">
        <is>
          <t>Not valid proof of better enhancement (no reference image)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zoomScaleNormal="100" workbookViewId="0">
      <selection activeCell="A1" sqref="A1"/>
    </sheetView>
  </sheetViews>
  <sheetFormatPr baseColWidth="8" defaultColWidth="8.6328125" defaultRowHeight="14.5"/>
  <cols>
    <col width="5" customWidth="1" style="1" min="1" max="1"/>
    <col width="70" customWidth="1" style="1" min="2" max="2"/>
    <col width="14" customWidth="1" style="1" min="3" max="5"/>
  </cols>
  <sheetData>
    <row r="1" ht="17.25" customHeight="1" s="1">
      <c r="A1" s="2" t="inlineStr">
        <is>
          <t>Task Checklist (Due Sunday 4 Oct 2026, 50 marks)</t>
        </is>
      </c>
    </row>
    <row r="2" ht="15" customHeight="1" s="1">
      <c r="A2" s="3" t="inlineStr">
        <is>
          <t>Late penalty: 10 marks/day. Set Status to Done as you finish; progress is calculated.</t>
        </is>
      </c>
    </row>
    <row r="4" ht="15" customHeight="1" s="1">
      <c r="A4" s="4" t="inlineStr">
        <is>
          <t>#</t>
        </is>
      </c>
      <c r="B4" s="4" t="inlineStr">
        <is>
          <t>Task</t>
        </is>
      </c>
      <c r="C4" s="4" t="inlineStr">
        <is>
          <t>Owner</t>
        </is>
      </c>
      <c r="D4" s="4" t="inlineStr">
        <is>
          <t>Target date</t>
        </is>
      </c>
      <c r="E4" s="4" t="inlineStr">
        <is>
          <t>Status</t>
        </is>
      </c>
    </row>
    <row r="5" ht="15" customHeight="1" s="1">
      <c r="A5" s="5" t="n">
        <v>1</v>
      </c>
      <c r="B5" s="5" t="inlineStr">
        <is>
          <t>Shared code: load_image, normalization, compute_metrics, timing, plot_results</t>
        </is>
      </c>
      <c r="C5" s="13" t="inlineStr">
        <is>
          <t>Maheen / Zimal / Nida</t>
        </is>
      </c>
      <c r="D5" s="13" t="inlineStr">
        <is>
          <t>4 Oct 2026</t>
        </is>
      </c>
      <c r="E5" s="13" t="inlineStr">
        <is>
          <t>Done</t>
        </is>
      </c>
    </row>
    <row r="6" ht="15" customHeight="1" s="1">
      <c r="A6" s="5" t="n">
        <v>2</v>
      </c>
      <c r="B6" s="5" t="inlineStr">
        <is>
          <t>Spatial pipeline (a) + HE baseline</t>
        </is>
      </c>
      <c r="C6" s="13" t="inlineStr">
        <is>
          <t>Maheen / Zimal / Nida</t>
        </is>
      </c>
      <c r="D6" s="13" t="inlineStr">
        <is>
          <t>4 Oct 2026</t>
        </is>
      </c>
      <c r="E6" s="13" t="inlineStr">
        <is>
          <t>Done</t>
        </is>
      </c>
    </row>
    <row r="7" ht="15" customHeight="1" s="1">
      <c r="A7" s="5" t="n">
        <v>3</v>
      </c>
      <c r="B7" s="5" t="inlineStr">
        <is>
          <t>Fourier: spectrum, filter masks, high-pass baseline, HFE (b)</t>
        </is>
      </c>
      <c r="C7" s="13" t="inlineStr">
        <is>
          <t>Maheen / Zimal / Nida</t>
        </is>
      </c>
      <c r="D7" s="13" t="inlineStr">
        <is>
          <t>4 Oct 2026</t>
        </is>
      </c>
      <c r="E7" s="13" t="inlineStr">
        <is>
          <t>Done</t>
        </is>
      </c>
    </row>
    <row r="8" ht="15" customHeight="1" s="1">
      <c r="A8" s="5" t="n">
        <v>4</v>
      </c>
      <c r="B8" s="5" t="inlineStr">
        <is>
          <t>Homomorphic filter experiment</t>
        </is>
      </c>
      <c r="C8" s="13" t="inlineStr">
        <is>
          <t>Maheen / Zimal / Nida</t>
        </is>
      </c>
      <c r="D8" s="13" t="inlineStr">
        <is>
          <t>4 Oct 2026</t>
        </is>
      </c>
      <c r="E8" s="13" t="inlineStr">
        <is>
          <t>Done</t>
        </is>
      </c>
    </row>
    <row r="9" ht="15" customHeight="1" s="1">
      <c r="A9" s="5" t="n">
        <v>5</v>
      </c>
      <c r="B9" s="5" t="inlineStr">
        <is>
          <t>Hybrid 1 sequential + Hybrid 2 fusion (c)</t>
        </is>
      </c>
      <c r="C9" s="13" t="inlineStr">
        <is>
          <t>Maheen / Zimal / Nida</t>
        </is>
      </c>
      <c r="D9" s="13" t="inlineStr">
        <is>
          <t>4 Oct 2026</t>
        </is>
      </c>
      <c r="E9" s="13" t="inlineStr">
        <is>
          <t>Done</t>
        </is>
      </c>
    </row>
    <row r="10" ht="15" customHeight="1" s="1">
      <c r="A10" s="5" t="n">
        <v>6</v>
      </c>
      <c r="B10" s="5" t="inlineStr">
        <is>
          <t>Parameter sweeps for both images</t>
        </is>
      </c>
      <c r="C10" s="13" t="inlineStr">
        <is>
          <t>Maheen / Zimal / Nida</t>
        </is>
      </c>
      <c r="D10" s="13" t="inlineStr">
        <is>
          <t>4 Oct 2026</t>
        </is>
      </c>
      <c r="E10" s="13" t="inlineStr">
        <is>
          <t>Done</t>
        </is>
      </c>
    </row>
    <row r="11" ht="15" customHeight="1" s="1">
      <c r="A11" s="5" t="n">
        <v>7</v>
      </c>
      <c r="B11" s="5" t="inlineStr">
        <is>
          <t>Export full-resolution results and zoomed crops</t>
        </is>
      </c>
      <c r="C11" s="13" t="inlineStr">
        <is>
          <t>Maheen / Zimal / Nida</t>
        </is>
      </c>
      <c r="D11" s="13" t="inlineStr">
        <is>
          <t>4 Oct 2026</t>
        </is>
      </c>
      <c r="E11" s="13" t="inlineStr">
        <is>
          <t>Done</t>
        </is>
      </c>
    </row>
    <row r="12" ht="15" customHeight="1" s="1">
      <c r="A12" s="5" t="n">
        <v>8</v>
      </c>
      <c r="B12" s="5" t="inlineStr">
        <is>
          <t>Fill Metrics and Runtime sheets</t>
        </is>
      </c>
      <c r="C12" s="13" t="inlineStr">
        <is>
          <t>Maheen / Zimal / Nida</t>
        </is>
      </c>
      <c r="D12" s="13" t="inlineStr">
        <is>
          <t>4 Oct 2026</t>
        </is>
      </c>
      <c r="E12" s="13" t="inlineStr">
        <is>
          <t>Done</t>
        </is>
      </c>
    </row>
    <row r="13" ht="15" customHeight="1" s="1">
      <c r="A13" s="5" t="n">
        <v>9</v>
      </c>
      <c r="B13" s="5" t="inlineStr">
        <is>
          <t>Write analysis (d): artifacts, trade-offs, why metrics can mislead</t>
        </is>
      </c>
      <c r="C13" s="13" t="inlineStr">
        <is>
          <t>Maheen / Zimal / Nida</t>
        </is>
      </c>
      <c r="D13" s="13" t="inlineStr">
        <is>
          <t>4 Oct 2026</t>
        </is>
      </c>
      <c r="E13" s="13" t="inlineStr">
        <is>
          <t>Done</t>
        </is>
      </c>
    </row>
    <row r="14" ht="15" customHeight="1" s="1">
      <c r="A14" s="5" t="n">
        <v>10</v>
      </c>
      <c r="B14" s="5" t="inlineStr">
        <is>
          <t>Assemble Word report with figures, comments, references</t>
        </is>
      </c>
      <c r="C14" s="13" t="inlineStr">
        <is>
          <t>Maheen / Zimal / Nida</t>
        </is>
      </c>
      <c r="D14" s="13" t="inlineStr">
        <is>
          <t>4 Oct 2026</t>
        </is>
      </c>
      <c r="E14" s="13" t="inlineStr">
        <is>
          <t>Done</t>
        </is>
      </c>
    </row>
    <row r="15" ht="15" customHeight="1" s="1">
      <c r="A15" s="5" t="n">
        <v>11</v>
      </c>
      <c r="B15" s="5" t="inlineStr">
        <is>
          <t>Comment code; save as separate .py files</t>
        </is>
      </c>
      <c r="C15" s="13" t="inlineStr">
        <is>
          <t>Maheen / Zimal / Nida</t>
        </is>
      </c>
      <c r="D15" s="13" t="inlineStr">
        <is>
          <t>4 Oct 2026</t>
        </is>
      </c>
      <c r="E15" s="13" t="inlineStr">
        <is>
          <t>Done</t>
        </is>
      </c>
    </row>
    <row r="16" ht="15" customHeight="1" s="1">
      <c r="A16" s="5" t="n">
        <v>12</v>
      </c>
      <c r="B16" s="5" t="inlineStr">
        <is>
          <t>Upload report + code to LMS</t>
        </is>
      </c>
      <c r="C16" s="13" t="inlineStr">
        <is>
          <t>Maheen / Zimal / Nida</t>
        </is>
      </c>
      <c r="D16" s="13" t="inlineStr">
        <is>
          <t>4 Oct 2026</t>
        </is>
      </c>
      <c r="E16" s="13" t="inlineStr">
        <is>
          <t>In progress</t>
        </is>
      </c>
    </row>
    <row r="18" ht="15" customHeight="1" s="1">
      <c r="B18" s="17" t="inlineStr">
        <is>
          <t>Tasks done</t>
        </is>
      </c>
      <c r="C18" s="18">
        <f>COUNTIF(E5:E16,"Done")</f>
        <v/>
      </c>
    </row>
    <row r="19" ht="15" customHeight="1" s="1">
      <c r="B19" s="17" t="inlineStr">
        <is>
          <t>Progress</t>
        </is>
      </c>
      <c r="C19" s="19">
        <f>C18/COUNTA(B5:B16)</f>
        <v/>
      </c>
    </row>
    <row r="21" ht="15" customHeight="1" s="1">
      <c r="B21" s="10" t="inlineStr">
        <is>
          <t>Status options: Not started / In progress / Done</t>
        </is>
      </c>
    </row>
  </sheetData>
  <dataValidations count="1">
    <dataValidation sqref="E5:E16" showDropDown="0" showInputMessage="0" showErrorMessage="0" allowBlank="1" type="list">
      <formula1>"Not started,In progress,Done"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Normal="100" workbookViewId="0">
      <selection activeCell="A1" sqref="A1"/>
    </sheetView>
  </sheetViews>
  <sheetFormatPr baseColWidth="8" defaultColWidth="8.6328125" defaultRowHeight="14.5"/>
  <cols>
    <col width="5" customWidth="1" style="1" min="1" max="1"/>
    <col width="50" customWidth="1" style="1" min="2" max="2"/>
    <col width="70" customWidth="1" style="1" min="3" max="3"/>
    <col width="60" customWidth="1" style="1" min="4" max="4"/>
  </cols>
  <sheetData>
    <row r="1" ht="17.25" customHeight="1" s="1">
      <c r="A1" s="2" t="inlineStr">
        <is>
          <t>Review Fixes Applied (final run)</t>
        </is>
      </c>
    </row>
    <row r="3" ht="15" customHeight="1" s="1">
      <c r="A3" s="4" t="inlineStr">
        <is>
          <t>#</t>
        </is>
      </c>
      <c r="B3" s="4" t="inlineStr">
        <is>
          <t>Issue</t>
        </is>
      </c>
      <c r="C3" s="4" t="inlineStr">
        <is>
          <t>Fix applied</t>
        </is>
      </c>
      <c r="D3" s="4" t="inlineStr">
        <is>
          <t>Effect</t>
        </is>
      </c>
    </row>
    <row r="4" ht="23.25" customHeight="1" s="1">
      <c r="A4" s="5" t="n">
        <v>1</v>
      </c>
      <c r="B4" s="5" t="inlineStr">
        <is>
          <t>Fourier-only outputs used percentile stretching (a spatial point operation)</t>
        </is>
      </c>
      <c r="C4" s="5" t="inlineStr">
        <is>
          <t>Fourier-only methods now use min-max visualization scaling only; high-pass uses a signed zero-centred display</t>
        </is>
      </c>
      <c r="D4" s="5" t="inlineStr">
        <is>
          <t>Fourier-only results are weaker (honest result of linear filtering); percentile stretch kept only inside hybrids</t>
        </is>
      </c>
    </row>
    <row r="5" ht="23.25" customHeight="1" s="1">
      <c r="A5" s="5" t="n">
        <v>2</v>
      </c>
      <c r="B5" s="5" t="inlineStr">
        <is>
          <t>Homomorphic default was not the classical form</t>
        </is>
      </c>
      <c r="C5" s="5" t="inlineStr">
        <is>
          <t>Fourier-only row uses classical exp(IDFT{H*DFT{log(f+eps)}})-eps with min-max scaling; hybrids use a modified log-domain variant, labelled as such</t>
        </is>
      </c>
      <c r="D5" s="5" t="inlineStr">
        <is>
          <t>Naming and theory now consistent</t>
        </is>
      </c>
    </row>
    <row r="6" ht="23.25" customHeight="1" s="1">
      <c r="A6" s="5" t="n">
        <v>3</v>
      </c>
      <c r="B6" s="5" t="inlineStr">
        <is>
          <t>Stage figure omitted Chest pre-smoothing</t>
        </is>
      </c>
      <c r="C6" s="5" t="inlineStr">
        <is>
          <t>Stage figure now includes pre-smoothing, denoise and unsharp as separate stages, and asserts it equals spatial_enhance()</t>
        </is>
      </c>
      <c r="D6" s="5" t="inlineStr">
        <is>
          <t>Figure reproduces the actual pipeline</t>
        </is>
      </c>
    </row>
    <row r="7" ht="23.25" customHeight="1" s="1">
      <c r="A7" s="5" t="n">
        <v>4</v>
      </c>
      <c r="B7" s="5" t="inlineStr">
        <is>
          <t>Input files contain a 1-4 px white frame</t>
        </is>
      </c>
      <c r="C7" s="5" t="inlineStr">
        <is>
          <t>load_image() strips saturated edge rows/columns automatically</t>
        </is>
      </c>
      <c r="D7" s="5" t="inlineStr">
        <is>
          <t>Removed edge-line artifacts and inflated edge metrics on the original; Skeleton Hybrid 1 retuned (it over-enhanced)</t>
        </is>
      </c>
    </row>
    <row r="8" ht="23.25" customHeight="1" s="1">
      <c r="A8" s="5" t="n">
        <v>5</v>
      </c>
      <c r="B8" s="5" t="inlineStr">
        <is>
          <t>BMP vs JPG</t>
        </is>
      </c>
      <c r="C8" s="5" t="inlineStr">
        <is>
          <t>Loader prefers .bmp, then .jpg/.png; all results, figures and report tables regenerated from the official Chest.bmp / Skeleton.bmp</t>
        </is>
      </c>
      <c r="D8" s="5" t="inlineStr">
        <is>
          <t>Done. Earlier numbers came from JPEG copies; conclusions unchanged, but Chest noise percentages shifted (the BMP original is cleaner) and the spatial vs HFE noise ordering swapped. No 8x8 blocking exists in the BMPs.</t>
        </is>
      </c>
    </row>
    <row r="9" ht="23.25" customHeight="1" s="1">
      <c r="A9" s="5" t="n">
        <v>6</v>
      </c>
      <c r="B9" s="5" t="inlineStr">
        <is>
          <t>Hybrid 2 runtime ambiguity</t>
        </is>
      </c>
      <c r="C9" s="5" t="inlineStr">
        <is>
          <t>Runtime sheet shows end-to-end cost (spatial + Fourier + fusion) as the median of the per-run totals; fusion-only cost in runtimes_ms.json</t>
        </is>
      </c>
      <c r="D9" s="5" t="inlineStr">
        <is>
          <t>Both reported; 15 runs per median; report table and metrics.csv now agree</t>
        </is>
      </c>
    </row>
    <row r="10" ht="15" customHeight="1" s="1">
      <c r="A10" s="5" t="n">
        <v>7</v>
      </c>
      <c r="B10" s="5" t="inlineStr">
        <is>
          <t>sweeps.csv params contained commas</t>
        </is>
      </c>
      <c r="C10" s="5" t="inlineStr">
        <is>
          <t>Separator changed to semicolons (file was valid, now robust)</t>
        </is>
      </c>
      <c r="D10" s="5" t="inlineStr">
        <is>
          <t>Safe in any parser</t>
        </is>
      </c>
    </row>
    <row r="11">
      <c r="A11" t="n">
        <v>8</v>
      </c>
      <c r="B11" t="inlineStr">
        <is>
          <t>Dark-region artifact was attributed to JPEG 8x8 blocking</t>
        </is>
      </c>
      <c r="C11" t="inlineStr">
        <is>
          <t>Re-measured on the BMPs: no 8x8 periodicity. Real cause is palette quantisation (219 grey levels; ~20 in the darkest 40% of Chest, ~9 in Skeleton)</t>
        </is>
      </c>
      <c r="D11" t="inlineStr">
        <is>
          <t>spatial.py, report and this workbook now describe it as posterisation/contour banding</t>
        </is>
      </c>
    </row>
    <row r="12">
      <c r="A12" t="n">
        <v>9</v>
      </c>
      <c r="B12" t="inlineStr">
        <is>
          <t>results/ held two figures from an older code revision</t>
        </is>
      </c>
      <c r="C12" t="inlineStr">
        <is>
          <t>Deleted Chest_a_spatial_stages.png and Skeleton_a_spatial_stages.png; current figure is *_a_stages.png</t>
        </is>
      </c>
      <c r="D12" t="inlineStr">
        <is>
          <t>results/ now matches exactly what main.py produces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2026-10-02T19:38:37Z</dcterms:created>
  <dcterms:modified xmlns:dcterms="http://purl.org/dc/terms/" xmlns:xsi="http://www.w3.org/2001/XMLSchema-instance" xsi:type="dcterms:W3CDTF">2026-10-03T20:50:42Z</dcterms:modified>
  <cp:lastModifiedBy>PMYLS</cp:lastModifiedBy>
  <cp:revision>0</cp:revision>
</cp:coreProperties>
</file>